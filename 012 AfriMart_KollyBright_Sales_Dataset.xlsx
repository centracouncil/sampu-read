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BraveMgmt\Desktop\"/>
    </mc:Choice>
  </mc:AlternateContent>
  <xr:revisionPtr revIDLastSave="0" documentId="13_ncr:2001_{C325651F-4C8A-4743-897F-4057E17F1E89}" xr6:coauthVersionLast="47" xr6:coauthVersionMax="47" xr10:uidLastSave="{00000000-0000-0000-0000-000000000000}"/>
  <bookViews>
    <workbookView xWindow="-120" yWindow="-120" windowWidth="29040" windowHeight="16440" xr2:uid="{00000000-000D-0000-FFFF-FFFF00000000}"/>
  </bookViews>
  <sheets>
    <sheet name="Dashboard" sheetId="5" r:id="rId1"/>
    <sheet name="Pivot Table" sheetId="3" r:id="rId2"/>
    <sheet name="Data" sheetId="1" r:id="rId3"/>
    <sheet name="New Data" sheetId="2" r:id="rId4"/>
  </sheets>
  <definedNames>
    <definedName name="Slicer_Country">#N/A</definedName>
    <definedName name="Slicer_Years__Dat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3" l="1"/>
  <c r="B36" i="3"/>
  <c r="B35" i="3"/>
</calcChain>
</file>

<file path=xl/sharedStrings.xml><?xml version="1.0" encoding="utf-8"?>
<sst xmlns="http://schemas.openxmlformats.org/spreadsheetml/2006/main" count="2540" uniqueCount="56">
  <si>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</si>
  <si>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</si>
  <si>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</si>
  <si>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</si>
  <si>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</si>
  <si>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</si>
  <si>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</si>
  <si>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</si>
  <si>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</si>
  <si>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</si>
  <si>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</si>
  <si>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</si>
  <si>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</si>
  <si>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</si>
  <si>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</si>
  <si>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</si>
  <si>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</si>
  <si>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</si>
  <si>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</si>
  <si>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</si>
  <si>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</si>
  <si>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</si>
  <si>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</si>
  <si>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</si>
  <si>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Sum of Revenue</t>
  </si>
  <si>
    <t>Row Labels</t>
  </si>
  <si>
    <t>Grand Total</t>
  </si>
  <si>
    <t>Revenue By Country</t>
  </si>
  <si>
    <t>Profit By Product</t>
  </si>
  <si>
    <t>Sum of Profit</t>
  </si>
  <si>
    <t>Unit Sold By Product</t>
  </si>
  <si>
    <t>Sum of Units Sold</t>
  </si>
  <si>
    <t>Trends Over Time</t>
  </si>
  <si>
    <t>2024</t>
  </si>
  <si>
    <t>2025</t>
  </si>
  <si>
    <t>2026</t>
  </si>
  <si>
    <t>Jan</t>
  </si>
  <si>
    <t>Feb</t>
  </si>
  <si>
    <t>Mar</t>
  </si>
  <si>
    <t>Apr</t>
  </si>
  <si>
    <t>May</t>
  </si>
  <si>
    <t>Jun</t>
  </si>
  <si>
    <t>Jul</t>
  </si>
  <si>
    <t>Aug</t>
  </si>
  <si>
    <t>Sep</t>
  </si>
  <si>
    <t>Oct</t>
  </si>
  <si>
    <t>Nov</t>
  </si>
  <si>
    <t>Dec</t>
  </si>
  <si>
    <t>Profit By Country</t>
  </si>
  <si>
    <t>Revenue by Country and Product</t>
  </si>
  <si>
    <t>Monthly Sales Performance</t>
  </si>
  <si>
    <t>Top 5 Products By Profit</t>
  </si>
  <si>
    <t>Total Revenue</t>
  </si>
  <si>
    <t>Total Profit</t>
  </si>
  <si>
    <t>Total Unit Sold</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</si>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</sst>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6]\ #,##0.00"/>
    <numFmt numFmtId="165" formatCode="[$₦-466]\ #,##0"/>
  </numFmts>
  <fonts count="6" x14ac:knownFonts="1">
    <font>
      <sz val="11"/>
      <color theme="1"/>
      <name val="Tw Cen MT"/>
      <family val="2"/>
      <scheme val="minor"/>
    </font>
    <font>
      <sz val="11"/>
      <name val="Calibri"/>
      <family val="2"/>
    </font>
    <font>
      <b/>
      <sz val="11"/>
      <color theme="6" tint="-0.249977111117893"/>
      <name val="Tw Cen MT"/>
      <family val="2"/>
      <scheme val="minor"/>
    </font>
    <font>
      <u/>
      <sz val="11"/>
      <color theme="1"/>
      <name val="Tw Cen MT"/>
      <family val="2"/>
      <scheme val="minor"/>
    </font>
    <font>
      <sz val="11"/>
      <color theme="1"/>
      <name val="Tw Cen MT"/>
      <family val="2"/>
      <scheme val="minor"/>
    </font>
    <font>
      <b/>
      <sz val="11"/>
      <color theme="1"/>
      <name val="Tw Cen MT"/>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2" fillId="0" borderId="0" xfId="0" applyFont="1"/>
    <xf numFmtId="0" fontId="3" fillId="0" borderId="0" xfId="0" pivotButton="1" applyFont="1"/>
    <xf numFmtId="165" fontId="0" fillId="0" borderId="0" xfId="0" applyNumberFormat="1"/>
    <xf numFmtId="165" fontId="5" fillId="0" borderId="1" xfId="0" applyNumberFormat="1" applyFont="1" applyBorder="1"/>
    <xf numFmtId="9" fontId="0" fillId="0" borderId="0" xfId="1" applyFont="1"/>
    <xf numFmtId="0" fontId="0" fillId="0" borderId="2" xfId="0" applyBorder="1"/>
    <xf numFmtId="0" fontId="5" fillId="2" borderId="2" xfId="0" applyFont="1" applyFill="1" applyBorder="1"/>
    <xf numFmtId="0" fontId="0" fillId="3" borderId="0" xfId="0" applyFill="1"/>
    <xf numFmtId="0" fontId="5" fillId="0" borderId="0" xfId="0" applyFont="1" applyAlignment="1">
      <alignment horizontal="center"/>
    </xf>
    <xf numFmtId="165" fontId="0" fillId="0" borderId="2" xfId="0" applyNumberFormat="1" applyBorder="1"/>
    <xf numFmtId="0" fontId="2" fillId="0" borderId="0" xfId="0" applyFont="1" applyAlignment="1">
      <alignment horizontal="center"/>
    </xf>
    <xf numFmtId="0" fontId="2" fillId="4" borderId="0" xfId="0" applyFont="1" applyFill="1" applyAlignment="1">
      <alignment horizontal="center"/>
    </xf>
    <xf numFmtId="165" fontId="0" fillId="0" borderId="0" xfId="0" applyNumberFormat="1" applyFont="1"/>
  </cellXfs>
  <cellStyles count="2">
    <cellStyle name="Normal" xfId="0" builtinId="0"/>
    <cellStyle name="Percent" xfId="1" builtinId="5"/>
  </cellStyles>
  <dxfs count="692">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font>
        <b/>
        <i val="0"/>
        <sz val="8"/>
        <color theme="0"/>
      </font>
      <fill>
        <patternFill>
          <bgColor theme="1"/>
        </patternFill>
      </fill>
      <border>
        <left style="dotted">
          <color theme="0" tint="-4.9989318521683403E-2"/>
        </left>
        <right style="dotted">
          <color theme="0" tint="-4.9989318521683403E-2"/>
        </right>
        <top style="dotted">
          <color theme="0" tint="-4.9989318521683403E-2"/>
        </top>
        <bottom style="dotted">
          <color theme="0" tint="-4.9989318521683403E-2"/>
        </bottom>
      </border>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font>
        <b val="0"/>
      </font>
    </dxf>
    <dxf>
      <font>
        <b val="0"/>
      </font>
    </dxf>
    <dxf>
      <font>
        <b val="0"/>
      </font>
    </dxf>
    <dxf>
      <font>
        <b val="0"/>
      </font>
    </dxf>
    <dxf>
      <font>
        <b val="0"/>
      </font>
    </dxf>
    <dxf>
      <numFmt numFmtId="3" formatCode="#,##0"/>
    </dxf>
    <dxf>
      <font>
        <u/>
      </font>
    </dxf>
    <dxf>
      <numFmt numFmtId="164" formatCode="[$₦-466]\ #,##0.00"/>
    </dxf>
    <dxf>
      <numFmt numFmtId="164" formatCode="[$₦-466]\ #,##0.00"/>
    </dxf>
    <dxf>
      <numFmt numFmtId="3" formatCode="#,##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5" formatCode="[$₦-466]\ #,##0"/>
    </dxf>
    <dxf>
      <numFmt numFmtId="164" formatCode="[$₦-466]\ #,##0.00"/>
    </dxf>
    <dxf>
      <numFmt numFmtId="3" formatCode="#,##0"/>
    </dxf>
    <dxf>
      <numFmt numFmtId="164" formatCode="[$₦-466]\ #,##0.00"/>
    </dxf>
    <dxf>
      <numFmt numFmtId="3" formatCode="#,##0"/>
    </dxf>
    <dxf>
      <numFmt numFmtId="165" formatCode="[$₦-466]\ #,##0"/>
    </dxf>
    <dxf>
      <numFmt numFmtId="165" formatCode="[$₦-466]\ #,##0"/>
    </dxf>
    <dxf>
      <numFmt numFmtId="165" formatCode="[$₦-466]\ #,##0"/>
    </dxf>
    <dxf>
      <numFmt numFmtId="3" formatCode="#,##0"/>
    </dxf>
    <dxf>
      <numFmt numFmtId="165" formatCode="[$₦-466]\ #,##0"/>
    </dxf>
    <dxf>
      <numFmt numFmtId="165" formatCode="[$₦-466]\ #,##0"/>
    </dxf>
    <dxf>
      <numFmt numFmtId="19" formatCode="m/d/yyyy"/>
    </dxf>
  </dxfs>
  <tableStyles count="1" defaultTableStyle="TableStyleMedium2" defaultPivotStyle="PivotStyleLight16">
    <tableStyle name="Slicer Style 1" pivot="0" table="0" count="3" xr9:uid="{C8E8D3C8-BE6F-43B8-84D6-A66C11C66F9F}">
      <tableStyleElement type="wholeTable" dxfId="294"/>
    </tableStyle>
  </tableStyles>
  <colors>
    <mruColors>
      <color rgb="FF0E1F2B"/>
      <color rgb="FFFC6D19"/>
    </mruColors>
  </colors>
  <extLst>
    <ext xmlns:x14="http://schemas.microsoft.com/office/spreadsheetml/2009/9/main" uri="{46F421CA-312F-682f-3DD2-61675219B42D}">
      <x14:dxfs count="3">
        <dxf>
          <fill>
            <patternFill>
              <bgColor theme="3" tint="-0.24994659260841701"/>
            </patternFill>
          </fill>
        </dxf>
        <dxf>
          <fill>
            <patternFill>
              <bgColor rgb="FFC00000"/>
            </patternFill>
          </fill>
        </dxf>
        <dxf>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by Country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bg1"/>
            </a:solidFill>
            <a:ln>
              <a:noFill/>
            </a:ln>
            <a:effectLst/>
          </c:spPr>
          <c:invertIfNegative val="0"/>
          <c:cat>
            <c:strRef>
              <c:f>'Pivot Table'!$A$4:$A$5</c:f>
              <c:strCache>
                <c:ptCount val="1"/>
                <c:pt idx="0">
                  <c:v>Tanzania</c:v>
                </c:pt>
              </c:strCache>
            </c:strRef>
          </c:cat>
          <c:val>
            <c:numRef>
              <c:f>'Pivot Table'!$B$4:$B$5</c:f>
              <c:numCache>
                <c:formatCode>[$₦-466]\ #,##0</c:formatCode>
                <c:ptCount val="1"/>
                <c:pt idx="0">
                  <c:v>1254735500</c:v>
                </c:pt>
              </c:numCache>
            </c:numRef>
          </c:val>
          <c:extLst>
            <c:ext xmlns:c16="http://schemas.microsoft.com/office/drawing/2014/chart" uri="{C3380CC4-5D6E-409C-BE32-E72D297353CC}">
              <c16:uniqueId val="{00000000-A3FD-477F-98F4-CB1D6D97162E}"/>
            </c:ext>
          </c:extLst>
        </c:ser>
        <c:dLbls>
          <c:showLegendKey val="0"/>
          <c:showVal val="0"/>
          <c:showCatName val="0"/>
          <c:showSerName val="0"/>
          <c:showPercent val="0"/>
          <c:showBubbleSize val="0"/>
        </c:dLbls>
        <c:gapWidth val="60"/>
        <c:overlap val="-27"/>
        <c:axId val="407065632"/>
        <c:axId val="407074272"/>
      </c:barChart>
      <c:catAx>
        <c:axId val="40706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74272"/>
        <c:crosses val="autoZero"/>
        <c:auto val="1"/>
        <c:lblAlgn val="ctr"/>
        <c:lblOffset val="100"/>
        <c:noMultiLvlLbl val="0"/>
      </c:catAx>
      <c:valAx>
        <c:axId val="407074272"/>
        <c:scaling>
          <c:orientation val="minMax"/>
        </c:scaling>
        <c:delete val="0"/>
        <c:axPos val="l"/>
        <c:majorGridlines>
          <c:spPr>
            <a:ln w="9525" cap="flat" cmpd="sng" algn="ctr">
              <a:no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6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bg1"/>
            </a:solidFill>
            <a:ln>
              <a:noFill/>
            </a:ln>
            <a:effectLst/>
          </c:spPr>
          <c:invertIfNegative val="0"/>
          <c:cat>
            <c:strRef>
              <c:f>'Pivot Table'!$D$4:$D$11</c:f>
              <c:strCache>
                <c:ptCount val="7"/>
                <c:pt idx="0">
                  <c:v>Rice (50kg Bag)</c:v>
                </c:pt>
                <c:pt idx="1">
                  <c:v>Palm Oil (5L)</c:v>
                </c:pt>
                <c:pt idx="2">
                  <c:v>Mobile Data Bundle</c:v>
                </c:pt>
                <c:pt idx="3">
                  <c:v>Cement (50kg)</c:v>
                </c:pt>
                <c:pt idx="4">
                  <c:v>Detergent (1kg)</c:v>
                </c:pt>
                <c:pt idx="5">
                  <c:v>Garri (Cassava Flour)</c:v>
                </c:pt>
                <c:pt idx="6">
                  <c:v>Bread (Family Loaf)</c:v>
                </c:pt>
              </c:strCache>
            </c:strRef>
          </c:cat>
          <c:val>
            <c:numRef>
              <c:f>'Pivot Table'!$E$4:$E$11</c:f>
              <c:numCache>
                <c:formatCode>[$₦-466]\ #,##0</c:formatCode>
                <c:ptCount val="7"/>
                <c:pt idx="0">
                  <c:v>135849000</c:v>
                </c:pt>
                <c:pt idx="1">
                  <c:v>58908000</c:v>
                </c:pt>
                <c:pt idx="2">
                  <c:v>13384800</c:v>
                </c:pt>
                <c:pt idx="3">
                  <c:v>9549600</c:v>
                </c:pt>
                <c:pt idx="4">
                  <c:v>7512300</c:v>
                </c:pt>
                <c:pt idx="5">
                  <c:v>6298400</c:v>
                </c:pt>
                <c:pt idx="6">
                  <c:v>5617150</c:v>
                </c:pt>
              </c:numCache>
            </c:numRef>
          </c:val>
          <c:extLst>
            <c:ext xmlns:c16="http://schemas.microsoft.com/office/drawing/2014/chart" uri="{C3380CC4-5D6E-409C-BE32-E72D297353CC}">
              <c16:uniqueId val="{00000000-A02B-41FD-8D40-67D731C9532E}"/>
            </c:ext>
          </c:extLst>
        </c:ser>
        <c:dLbls>
          <c:showLegendKey val="0"/>
          <c:showVal val="0"/>
          <c:showCatName val="0"/>
          <c:showSerName val="0"/>
          <c:showPercent val="0"/>
          <c:showBubbleSize val="0"/>
        </c:dLbls>
        <c:gapWidth val="63"/>
        <c:axId val="407095392"/>
        <c:axId val="407099232"/>
      </c:barChart>
      <c:catAx>
        <c:axId val="40709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99232"/>
        <c:crosses val="autoZero"/>
        <c:auto val="1"/>
        <c:lblAlgn val="ctr"/>
        <c:lblOffset val="100"/>
        <c:noMultiLvlLbl val="0"/>
      </c:catAx>
      <c:valAx>
        <c:axId val="407099232"/>
        <c:scaling>
          <c:orientation val="minMax"/>
        </c:scaling>
        <c:delete val="0"/>
        <c:axPos val="b"/>
        <c:majorGridlines>
          <c:spPr>
            <a:ln w="9525" cap="flat" cmpd="sng" algn="ctr">
              <a:no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0709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Unit Sold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solidFill>
            <a:ln>
              <a:noFill/>
            </a:ln>
            <a:effectLst/>
          </c:spPr>
          <c:invertIfNegative val="0"/>
          <c:cat>
            <c:strRef>
              <c:f>'Pivot Table'!$G$4:$G$11</c:f>
              <c:strCache>
                <c:ptCount val="7"/>
                <c:pt idx="0">
                  <c:v>Rice (50kg Bag)</c:v>
                </c:pt>
                <c:pt idx="1">
                  <c:v>Bread (Family Loaf)</c:v>
                </c:pt>
                <c:pt idx="2">
                  <c:v>Garri (Cassava Flour)</c:v>
                </c:pt>
                <c:pt idx="3">
                  <c:v>Palm Oil (5L)</c:v>
                </c:pt>
                <c:pt idx="4">
                  <c:v>Cement (50kg)</c:v>
                </c:pt>
                <c:pt idx="5">
                  <c:v>Mobile Data Bundle</c:v>
                </c:pt>
                <c:pt idx="6">
                  <c:v>Detergent (1kg)</c:v>
                </c:pt>
              </c:strCache>
            </c:strRef>
          </c:cat>
          <c:val>
            <c:numRef>
              <c:f>'Pivot Table'!$H$4:$H$11</c:f>
              <c:numCache>
                <c:formatCode>#,##0</c:formatCode>
                <c:ptCount val="7"/>
                <c:pt idx="0">
                  <c:v>19407</c:v>
                </c:pt>
                <c:pt idx="1">
                  <c:v>16049</c:v>
                </c:pt>
                <c:pt idx="2">
                  <c:v>15746</c:v>
                </c:pt>
                <c:pt idx="3">
                  <c:v>14727</c:v>
                </c:pt>
                <c:pt idx="4">
                  <c:v>11937</c:v>
                </c:pt>
                <c:pt idx="5">
                  <c:v>11154</c:v>
                </c:pt>
                <c:pt idx="6">
                  <c:v>8347</c:v>
                </c:pt>
              </c:numCache>
            </c:numRef>
          </c:val>
          <c:extLst>
            <c:ext xmlns:c16="http://schemas.microsoft.com/office/drawing/2014/chart" uri="{C3380CC4-5D6E-409C-BE32-E72D297353CC}">
              <c16:uniqueId val="{00000000-93CA-4645-B9F0-A2E62DD46868}"/>
            </c:ext>
          </c:extLst>
        </c:ser>
        <c:dLbls>
          <c:showLegendKey val="0"/>
          <c:showVal val="0"/>
          <c:showCatName val="0"/>
          <c:showSerName val="0"/>
          <c:showPercent val="0"/>
          <c:showBubbleSize val="0"/>
        </c:dLbls>
        <c:gapWidth val="63"/>
        <c:overlap val="-27"/>
        <c:axId val="407117952"/>
        <c:axId val="407118912"/>
      </c:barChart>
      <c:catAx>
        <c:axId val="4071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8912"/>
        <c:crosses val="autoZero"/>
        <c:auto val="1"/>
        <c:lblAlgn val="ctr"/>
        <c:lblOffset val="100"/>
        <c:noMultiLvlLbl val="0"/>
      </c:catAx>
      <c:valAx>
        <c:axId val="40711891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Table!PivotTable4</c:name>
    <c:fmtId val="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8100" cap="rnd" cmpd="thickThin">
            <a:solidFill>
              <a:srgbClr val="FC6D19"/>
            </a:solidFill>
            <a:round/>
          </a:ln>
          <a:effectLst/>
        </c:spPr>
        <c:marker>
          <c:symbol val="circle"/>
          <c:size val="5"/>
          <c:spPr>
            <a:solidFill>
              <a:schemeClr val="bg1"/>
            </a:solidFill>
            <a:ln w="9525">
              <a:solidFill>
                <a:srgbClr val="FC6D1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8100" cap="rnd" cmpd="thickThin">
              <a:solidFill>
                <a:srgbClr val="FC6D19"/>
              </a:solidFill>
              <a:round/>
            </a:ln>
            <a:effectLst/>
          </c:spPr>
          <c:marker>
            <c:symbol val="circle"/>
            <c:size val="5"/>
            <c:spPr>
              <a:solidFill>
                <a:schemeClr val="bg1"/>
              </a:solidFill>
              <a:ln w="9525">
                <a:solidFill>
                  <a:srgbClr val="FC6D19"/>
                </a:solidFill>
              </a:ln>
              <a:effectLst/>
            </c:spPr>
          </c:marker>
          <c:cat>
            <c:strRef>
              <c:f>'Pivot Table'!$J$4:$J$7</c:f>
              <c:strCache>
                <c:ptCount val="3"/>
                <c:pt idx="0">
                  <c:v>2024</c:v>
                </c:pt>
                <c:pt idx="1">
                  <c:v>2025</c:v>
                </c:pt>
                <c:pt idx="2">
                  <c:v>2026</c:v>
                </c:pt>
              </c:strCache>
            </c:strRef>
          </c:cat>
          <c:val>
            <c:numRef>
              <c:f>'Pivot Table'!$K$4:$K$7</c:f>
              <c:numCache>
                <c:formatCode>[$₦-466]\ #,##0</c:formatCode>
                <c:ptCount val="3"/>
                <c:pt idx="0">
                  <c:v>546538400</c:v>
                </c:pt>
                <c:pt idx="1">
                  <c:v>177723500</c:v>
                </c:pt>
                <c:pt idx="2">
                  <c:v>530473600</c:v>
                </c:pt>
              </c:numCache>
            </c:numRef>
          </c:val>
          <c:smooth val="1"/>
          <c:extLst>
            <c:ext xmlns:c16="http://schemas.microsoft.com/office/drawing/2014/chart" uri="{C3380CC4-5D6E-409C-BE32-E72D297353CC}">
              <c16:uniqueId val="{00000000-E6DE-4ED7-8E14-E2447AAA5C5A}"/>
            </c:ext>
          </c:extLst>
        </c:ser>
        <c:dLbls>
          <c:showLegendKey val="0"/>
          <c:showVal val="0"/>
          <c:showCatName val="0"/>
          <c:showSerName val="0"/>
          <c:showPercent val="0"/>
          <c:showBubbleSize val="0"/>
        </c:dLbls>
        <c:marker val="1"/>
        <c:smooth val="0"/>
        <c:axId val="407090592"/>
        <c:axId val="407117472"/>
      </c:lineChart>
      <c:catAx>
        <c:axId val="4070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117472"/>
        <c:crosses val="autoZero"/>
        <c:auto val="1"/>
        <c:lblAlgn val="ctr"/>
        <c:lblOffset val="100"/>
        <c:noMultiLvlLbl val="0"/>
      </c:catAx>
      <c:valAx>
        <c:axId val="407117472"/>
        <c:scaling>
          <c:orientation val="minMax"/>
        </c:scaling>
        <c:delete val="0"/>
        <c:axPos val="l"/>
        <c:majorGridlines>
          <c:spPr>
            <a:ln w="9525" cap="flat" cmpd="sng" algn="ctr">
              <a:no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0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C6D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C6D19"/>
            </a:solidFill>
            <a:round/>
          </a:ln>
          <a:effectLst/>
        </c:spPr>
        <c:marker>
          <c:symbol val="none"/>
        </c:marker>
      </c:pivotFmt>
    </c:pivotFmts>
    <c:plotArea>
      <c:layout/>
      <c:barChart>
        <c:barDir val="col"/>
        <c:grouping val="clustered"/>
        <c:varyColors val="0"/>
        <c:ser>
          <c:idx val="0"/>
          <c:order val="0"/>
          <c:tx>
            <c:strRef>
              <c:f>'Pivot Table'!$E$18</c:f>
              <c:strCache>
                <c:ptCount val="1"/>
                <c:pt idx="0">
                  <c:v>Sum of Revenue</c:v>
                </c:pt>
              </c:strCache>
            </c:strRef>
          </c:tx>
          <c:spPr>
            <a:solidFill>
              <a:schemeClr val="bg1"/>
            </a:solidFill>
            <a:ln>
              <a:noFill/>
            </a:ln>
            <a:effectLst/>
          </c:spPr>
          <c:invertIfNegative val="0"/>
          <c:cat>
            <c:strRef>
              <c:f>'Pivot Table'!$D$19:$D$31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Table'!$E$19:$E$31</c:f>
              <c:numCache>
                <c:formatCode>[$₦-466]\ #,##0</c:formatCode>
                <c:ptCount val="12"/>
                <c:pt idx="0">
                  <c:v>146016000</c:v>
                </c:pt>
                <c:pt idx="1">
                  <c:v>21381600</c:v>
                </c:pt>
                <c:pt idx="2">
                  <c:v>7037700</c:v>
                </c:pt>
                <c:pt idx="3">
                  <c:v>49274200</c:v>
                </c:pt>
                <c:pt idx="4">
                  <c:v>192322000</c:v>
                </c:pt>
                <c:pt idx="5">
                  <c:v>162937500</c:v>
                </c:pt>
                <c:pt idx="6">
                  <c:v>40266000</c:v>
                </c:pt>
                <c:pt idx="7">
                  <c:v>181530100</c:v>
                </c:pt>
                <c:pt idx="8">
                  <c:v>173086200</c:v>
                </c:pt>
                <c:pt idx="9">
                  <c:v>139316000</c:v>
                </c:pt>
                <c:pt idx="10">
                  <c:v>132771600</c:v>
                </c:pt>
                <c:pt idx="11">
                  <c:v>8796600</c:v>
                </c:pt>
              </c:numCache>
            </c:numRef>
          </c:val>
          <c:extLst>
            <c:ext xmlns:c16="http://schemas.microsoft.com/office/drawing/2014/chart" uri="{C3380CC4-5D6E-409C-BE32-E72D297353CC}">
              <c16:uniqueId val="{00000000-B52D-46A9-94F5-D6FA76FBAD77}"/>
            </c:ext>
          </c:extLst>
        </c:ser>
        <c:dLbls>
          <c:showLegendKey val="0"/>
          <c:showVal val="0"/>
          <c:showCatName val="0"/>
          <c:showSerName val="0"/>
          <c:showPercent val="0"/>
          <c:showBubbleSize val="0"/>
        </c:dLbls>
        <c:gapWidth val="219"/>
        <c:overlap val="-27"/>
        <c:axId val="838496848"/>
        <c:axId val="838507408"/>
      </c:barChart>
      <c:lineChart>
        <c:grouping val="standard"/>
        <c:varyColors val="0"/>
        <c:ser>
          <c:idx val="1"/>
          <c:order val="1"/>
          <c:tx>
            <c:strRef>
              <c:f>'Pivot Table'!$F$18</c:f>
              <c:strCache>
                <c:ptCount val="1"/>
                <c:pt idx="0">
                  <c:v>Sum of Units Sold</c:v>
                </c:pt>
              </c:strCache>
            </c:strRef>
          </c:tx>
          <c:spPr>
            <a:ln w="28575" cap="rnd">
              <a:solidFill>
                <a:srgbClr val="FC6D19"/>
              </a:solidFill>
              <a:round/>
            </a:ln>
            <a:effectLst/>
          </c:spPr>
          <c:marker>
            <c:symbol val="none"/>
          </c:marker>
          <c:cat>
            <c:strRef>
              <c:f>'Pivot Table'!$D$19:$D$31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Table'!$F$19:$F$31</c:f>
              <c:numCache>
                <c:formatCode>#,##0</c:formatCode>
                <c:ptCount val="12"/>
                <c:pt idx="0">
                  <c:v>9879</c:v>
                </c:pt>
                <c:pt idx="1">
                  <c:v>4902</c:v>
                </c:pt>
                <c:pt idx="2">
                  <c:v>4469</c:v>
                </c:pt>
                <c:pt idx="3">
                  <c:v>2640</c:v>
                </c:pt>
                <c:pt idx="4">
                  <c:v>9579</c:v>
                </c:pt>
                <c:pt idx="5">
                  <c:v>10798</c:v>
                </c:pt>
                <c:pt idx="6">
                  <c:v>3610</c:v>
                </c:pt>
                <c:pt idx="7">
                  <c:v>15082</c:v>
                </c:pt>
                <c:pt idx="8">
                  <c:v>12442</c:v>
                </c:pt>
                <c:pt idx="9">
                  <c:v>8400</c:v>
                </c:pt>
                <c:pt idx="10">
                  <c:v>10811</c:v>
                </c:pt>
                <c:pt idx="11">
                  <c:v>4755</c:v>
                </c:pt>
              </c:numCache>
            </c:numRef>
          </c:val>
          <c:smooth val="0"/>
          <c:extLst>
            <c:ext xmlns:c16="http://schemas.microsoft.com/office/drawing/2014/chart" uri="{C3380CC4-5D6E-409C-BE32-E72D297353CC}">
              <c16:uniqueId val="{00000001-B52D-46A9-94F5-D6FA76FBAD77}"/>
            </c:ext>
          </c:extLst>
        </c:ser>
        <c:dLbls>
          <c:showLegendKey val="0"/>
          <c:showVal val="0"/>
          <c:showCatName val="0"/>
          <c:showSerName val="0"/>
          <c:showPercent val="0"/>
          <c:showBubbleSize val="0"/>
        </c:dLbls>
        <c:marker val="1"/>
        <c:smooth val="0"/>
        <c:axId val="838496368"/>
        <c:axId val="838494448"/>
      </c:lineChart>
      <c:catAx>
        <c:axId val="83849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507408"/>
        <c:crosses val="autoZero"/>
        <c:auto val="1"/>
        <c:lblAlgn val="ctr"/>
        <c:lblOffset val="100"/>
        <c:noMultiLvlLbl val="0"/>
      </c:catAx>
      <c:valAx>
        <c:axId val="838507408"/>
        <c:scaling>
          <c:orientation val="minMax"/>
        </c:scaling>
        <c:delete val="0"/>
        <c:axPos val="l"/>
        <c:majorGridlines>
          <c:spPr>
            <a:ln w="9525" cap="flat" cmpd="sng" algn="ctr">
              <a:no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496848"/>
        <c:crosses val="autoZero"/>
        <c:crossBetween val="between"/>
      </c:valAx>
      <c:valAx>
        <c:axId val="8384944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8496368"/>
        <c:crosses val="max"/>
        <c:crossBetween val="between"/>
      </c:valAx>
      <c:catAx>
        <c:axId val="838496368"/>
        <c:scaling>
          <c:orientation val="minMax"/>
        </c:scaling>
        <c:delete val="1"/>
        <c:axPos val="b"/>
        <c:numFmt formatCode="General" sourceLinked="1"/>
        <c:majorTickMark val="out"/>
        <c:minorTickMark val="none"/>
        <c:tickLblPos val="nextTo"/>
        <c:crossAx val="838494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 AfriMart_KollyBright_Sales_Dataset.xlsx]Pivot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63-4CA3-BE31-D046286925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63-4CA3-BE31-D046286925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63-4CA3-BE31-D046286925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63-4CA3-BE31-D046286925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63-4CA3-BE31-D046286925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ED-4912-9EE2-D6E572C728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ED-4912-9EE2-D6E572C72833}"/>
              </c:ext>
            </c:extLst>
          </c:dPt>
          <c:cat>
            <c:strRef>
              <c:f>'Pivot Table'!$H$19:$H$26</c:f>
              <c:strCache>
                <c:ptCount val="7"/>
                <c:pt idx="0">
                  <c:v>Rice (50kg Bag)</c:v>
                </c:pt>
                <c:pt idx="1">
                  <c:v>Palm Oil (5L)</c:v>
                </c:pt>
                <c:pt idx="2">
                  <c:v>Mobile Data Bundle</c:v>
                </c:pt>
                <c:pt idx="3">
                  <c:v>Cement (50kg)</c:v>
                </c:pt>
                <c:pt idx="4">
                  <c:v>Detergent (1kg)</c:v>
                </c:pt>
                <c:pt idx="5">
                  <c:v>Garri (Cassava Flour)</c:v>
                </c:pt>
                <c:pt idx="6">
                  <c:v>Bread (Family Loaf)</c:v>
                </c:pt>
              </c:strCache>
            </c:strRef>
          </c:cat>
          <c:val>
            <c:numRef>
              <c:f>'Pivot Table'!$I$19:$I$26</c:f>
              <c:numCache>
                <c:formatCode>[$₦-466]\ #,##0.00</c:formatCode>
                <c:ptCount val="7"/>
                <c:pt idx="0">
                  <c:v>135849000</c:v>
                </c:pt>
                <c:pt idx="1">
                  <c:v>58908000</c:v>
                </c:pt>
                <c:pt idx="2">
                  <c:v>13384800</c:v>
                </c:pt>
                <c:pt idx="3">
                  <c:v>9549600</c:v>
                </c:pt>
                <c:pt idx="4">
                  <c:v>7512300</c:v>
                </c:pt>
                <c:pt idx="5">
                  <c:v>6298400</c:v>
                </c:pt>
                <c:pt idx="6">
                  <c:v>5617150</c:v>
                </c:pt>
              </c:numCache>
            </c:numRef>
          </c:val>
          <c:extLst>
            <c:ext xmlns:c16="http://schemas.microsoft.com/office/drawing/2014/chart" uri="{C3380CC4-5D6E-409C-BE32-E72D297353CC}">
              <c16:uniqueId val="{0000000A-EE63-4CA3-BE31-D0462869250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4103937007874015"/>
          <c:y val="0.83377806940799071"/>
          <c:w val="0.83181014873140868"/>
          <c:h val="0.13844415281423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2.png"/><Relationship Id="rId21" Type="http://schemas.openxmlformats.org/officeDocument/2006/relationships/chart" Target="../charts/chart3.xml"/><Relationship Id="rId7" Type="http://schemas.openxmlformats.org/officeDocument/2006/relationships/hyperlink" Target="#Data!A1"/><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image" Target="../media/image1.png"/><Relationship Id="rId16" Type="http://schemas.openxmlformats.org/officeDocument/2006/relationships/image" Target="../media/image13.svg"/><Relationship Id="rId20" Type="http://schemas.openxmlformats.org/officeDocument/2006/relationships/chart" Target="../charts/chart2.xml"/><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5.xml"/><Relationship Id="rId10" Type="http://schemas.openxmlformats.org/officeDocument/2006/relationships/hyperlink" Target="#'Pivot Table'!A1"/><Relationship Id="rId19" Type="http://schemas.openxmlformats.org/officeDocument/2006/relationships/chart" Target="../charts/chart1.xml"/><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55563</xdr:colOff>
      <xdr:row>0</xdr:row>
      <xdr:rowOff>53182</xdr:rowOff>
    </xdr:from>
    <xdr:to>
      <xdr:col>2</xdr:col>
      <xdr:colOff>238125</xdr:colOff>
      <xdr:row>6</xdr:row>
      <xdr:rowOff>69057</xdr:rowOff>
    </xdr:to>
    <xdr:sp macro="" textlink="">
      <xdr:nvSpPr>
        <xdr:cNvPr id="2" name="Rectangle: Rounded Corners 1">
          <a:extLst>
            <a:ext uri="{FF2B5EF4-FFF2-40B4-BE49-F238E27FC236}">
              <a16:creationId xmlns:a16="http://schemas.microsoft.com/office/drawing/2014/main" id="{D4A99A72-E6D4-E54F-F806-BB4D23C6CE4B}"/>
            </a:ext>
          </a:extLst>
        </xdr:cNvPr>
        <xdr:cNvSpPr/>
      </xdr:nvSpPr>
      <xdr:spPr>
        <a:xfrm>
          <a:off x="55563" y="53182"/>
          <a:ext cx="1554162" cy="1101725"/>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55563</xdr:colOff>
      <xdr:row>6</xdr:row>
      <xdr:rowOff>101356</xdr:rowOff>
    </xdr:from>
    <xdr:to>
      <xdr:col>2</xdr:col>
      <xdr:colOff>238125</xdr:colOff>
      <xdr:row>40</xdr:row>
      <xdr:rowOff>100012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CB0215B-AB5E-3177-82D4-93B87F9B9FC0}"/>
            </a:ext>
          </a:extLst>
        </xdr:cNvPr>
        <xdr:cNvSpPr/>
      </xdr:nvSpPr>
      <xdr:spPr>
        <a:xfrm>
          <a:off x="55563" y="1188723"/>
          <a:ext cx="1556522" cy="6160404"/>
        </a:xfrm>
        <a:prstGeom prst="roundRect">
          <a:avLst>
            <a:gd name="adj" fmla="val 5200"/>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278548</xdr:colOff>
      <xdr:row>0</xdr:row>
      <xdr:rowOff>53182</xdr:rowOff>
    </xdr:from>
    <xdr:to>
      <xdr:col>22</xdr:col>
      <xdr:colOff>19050</xdr:colOff>
      <xdr:row>6</xdr:row>
      <xdr:rowOff>69057</xdr:rowOff>
    </xdr:to>
    <xdr:sp macro="" textlink="">
      <xdr:nvSpPr>
        <xdr:cNvPr id="5" name="Rectangle: Rounded Corners 4">
          <a:extLst>
            <a:ext uri="{FF2B5EF4-FFF2-40B4-BE49-F238E27FC236}">
              <a16:creationId xmlns:a16="http://schemas.microsoft.com/office/drawing/2014/main" id="{7ABFC30B-2362-C1D4-1B6D-DD41705FA29C}"/>
            </a:ext>
          </a:extLst>
        </xdr:cNvPr>
        <xdr:cNvSpPr/>
      </xdr:nvSpPr>
      <xdr:spPr>
        <a:xfrm>
          <a:off x="1650148" y="53182"/>
          <a:ext cx="13456502" cy="1101725"/>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274529</xdr:colOff>
      <xdr:row>6</xdr:row>
      <xdr:rowOff>118872</xdr:rowOff>
    </xdr:from>
    <xdr:to>
      <xdr:col>6</xdr:col>
      <xdr:colOff>217500</xdr:colOff>
      <xdr:row>12</xdr:row>
      <xdr:rowOff>134746</xdr:rowOff>
    </xdr:to>
    <xdr:sp macro="" textlink="">
      <xdr:nvSpPr>
        <xdr:cNvPr id="7" name="Rectangle: Rounded Corners 6">
          <a:extLst>
            <a:ext uri="{FF2B5EF4-FFF2-40B4-BE49-F238E27FC236}">
              <a16:creationId xmlns:a16="http://schemas.microsoft.com/office/drawing/2014/main" id="{48A64954-857F-C5E4-2FE8-E48577C81160}"/>
            </a:ext>
          </a:extLst>
        </xdr:cNvPr>
        <xdr:cNvSpPr/>
      </xdr:nvSpPr>
      <xdr:spPr>
        <a:xfrm>
          <a:off x="1644182" y="1203471"/>
          <a:ext cx="2682278" cy="1100472"/>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248436</xdr:colOff>
      <xdr:row>6</xdr:row>
      <xdr:rowOff>123634</xdr:rowOff>
    </xdr:from>
    <xdr:to>
      <xdr:col>10</xdr:col>
      <xdr:colOff>191407</xdr:colOff>
      <xdr:row>12</xdr:row>
      <xdr:rowOff>139508</xdr:rowOff>
    </xdr:to>
    <xdr:sp macro="" textlink="">
      <xdr:nvSpPr>
        <xdr:cNvPr id="8" name="Rectangle: Rounded Corners 7">
          <a:extLst>
            <a:ext uri="{FF2B5EF4-FFF2-40B4-BE49-F238E27FC236}">
              <a16:creationId xmlns:a16="http://schemas.microsoft.com/office/drawing/2014/main" id="{177F8B6D-C3DD-85A6-9A59-A517CFF3C64F}"/>
            </a:ext>
          </a:extLst>
        </xdr:cNvPr>
        <xdr:cNvSpPr/>
      </xdr:nvSpPr>
      <xdr:spPr>
        <a:xfrm>
          <a:off x="4363236" y="1209484"/>
          <a:ext cx="2686171" cy="1101724"/>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222345</xdr:colOff>
      <xdr:row>6</xdr:row>
      <xdr:rowOff>118872</xdr:rowOff>
    </xdr:from>
    <xdr:to>
      <xdr:col>14</xdr:col>
      <xdr:colOff>165315</xdr:colOff>
      <xdr:row>12</xdr:row>
      <xdr:rowOff>134746</xdr:rowOff>
    </xdr:to>
    <xdr:sp macro="" textlink="">
      <xdr:nvSpPr>
        <xdr:cNvPr id="9" name="Rectangle: Rounded Corners 8">
          <a:extLst>
            <a:ext uri="{FF2B5EF4-FFF2-40B4-BE49-F238E27FC236}">
              <a16:creationId xmlns:a16="http://schemas.microsoft.com/office/drawing/2014/main" id="{4FF8655C-4A4B-3B59-8295-E627C57A8861}"/>
            </a:ext>
          </a:extLst>
        </xdr:cNvPr>
        <xdr:cNvSpPr/>
      </xdr:nvSpPr>
      <xdr:spPr>
        <a:xfrm>
          <a:off x="7058837" y="1225001"/>
          <a:ext cx="2677567" cy="1122003"/>
        </a:xfrm>
        <a:prstGeom prst="roundRect">
          <a:avLst>
            <a:gd name="adj" fmla="val 6193"/>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274527</xdr:colOff>
      <xdr:row>12</xdr:row>
      <xdr:rowOff>168653</xdr:rowOff>
    </xdr:from>
    <xdr:to>
      <xdr:col>8</xdr:col>
      <xdr:colOff>170596</xdr:colOff>
      <xdr:row>28</xdr:row>
      <xdr:rowOff>143232</xdr:rowOff>
    </xdr:to>
    <xdr:sp macro="" textlink="">
      <xdr:nvSpPr>
        <xdr:cNvPr id="11" name="Rectangle: Rounded Corners 10">
          <a:extLst>
            <a:ext uri="{FF2B5EF4-FFF2-40B4-BE49-F238E27FC236}">
              <a16:creationId xmlns:a16="http://schemas.microsoft.com/office/drawing/2014/main" id="{EE63BF0C-34A1-0CD3-7388-76AE00F48027}"/>
            </a:ext>
          </a:extLst>
        </xdr:cNvPr>
        <xdr:cNvSpPr/>
      </xdr:nvSpPr>
      <xdr:spPr>
        <a:xfrm>
          <a:off x="1640739" y="2362289"/>
          <a:ext cx="3994705" cy="2899428"/>
        </a:xfrm>
        <a:prstGeom prst="roundRect">
          <a:avLst>
            <a:gd name="adj" fmla="val 4866"/>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217661</xdr:colOff>
      <xdr:row>12</xdr:row>
      <xdr:rowOff>168653</xdr:rowOff>
    </xdr:from>
    <xdr:to>
      <xdr:col>14</xdr:col>
      <xdr:colOff>113729</xdr:colOff>
      <xdr:row>28</xdr:row>
      <xdr:rowOff>143232</xdr:rowOff>
    </xdr:to>
    <xdr:sp macro="" textlink="">
      <xdr:nvSpPr>
        <xdr:cNvPr id="12" name="Rectangle: Rounded Corners 11">
          <a:extLst>
            <a:ext uri="{FF2B5EF4-FFF2-40B4-BE49-F238E27FC236}">
              <a16:creationId xmlns:a16="http://schemas.microsoft.com/office/drawing/2014/main" id="{EBF118F4-1A3C-6BF3-DB53-BDE72D0AD26C}"/>
            </a:ext>
          </a:extLst>
        </xdr:cNvPr>
        <xdr:cNvSpPr/>
      </xdr:nvSpPr>
      <xdr:spPr>
        <a:xfrm>
          <a:off x="5682509" y="2362289"/>
          <a:ext cx="3994705" cy="2899428"/>
        </a:xfrm>
        <a:prstGeom prst="roundRect">
          <a:avLst>
            <a:gd name="adj" fmla="val 3207"/>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197488</xdr:colOff>
      <xdr:row>6</xdr:row>
      <xdr:rowOff>73270</xdr:rowOff>
    </xdr:from>
    <xdr:to>
      <xdr:col>22</xdr:col>
      <xdr:colOff>54048</xdr:colOff>
      <xdr:row>28</xdr:row>
      <xdr:rowOff>143231</xdr:rowOff>
    </xdr:to>
    <xdr:sp macro="" textlink="">
      <xdr:nvSpPr>
        <xdr:cNvPr id="13" name="Rectangle: Rounded Corners 12">
          <a:extLst>
            <a:ext uri="{FF2B5EF4-FFF2-40B4-BE49-F238E27FC236}">
              <a16:creationId xmlns:a16="http://schemas.microsoft.com/office/drawing/2014/main" id="{1298FF98-7E6F-4CB7-7A2E-AFEFAEADB237}"/>
            </a:ext>
          </a:extLst>
        </xdr:cNvPr>
        <xdr:cNvSpPr/>
      </xdr:nvSpPr>
      <xdr:spPr>
        <a:xfrm>
          <a:off x="9839719" y="1172308"/>
          <a:ext cx="5366406" cy="4099769"/>
        </a:xfrm>
        <a:prstGeom prst="roundRect">
          <a:avLst>
            <a:gd name="adj" fmla="val 4534"/>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274527</xdr:colOff>
      <xdr:row>28</xdr:row>
      <xdr:rowOff>176182</xdr:rowOff>
    </xdr:from>
    <xdr:to>
      <xdr:col>8</xdr:col>
      <xdr:colOff>170596</xdr:colOff>
      <xdr:row>40</xdr:row>
      <xdr:rowOff>135325</xdr:rowOff>
    </xdr:to>
    <xdr:sp macro="" textlink="">
      <xdr:nvSpPr>
        <xdr:cNvPr id="14" name="Rectangle: Rounded Corners 13">
          <a:extLst>
            <a:ext uri="{FF2B5EF4-FFF2-40B4-BE49-F238E27FC236}">
              <a16:creationId xmlns:a16="http://schemas.microsoft.com/office/drawing/2014/main" id="{2A01FAB4-3D5A-C1B9-6E18-97826B0EA460}"/>
            </a:ext>
          </a:extLst>
        </xdr:cNvPr>
        <xdr:cNvSpPr/>
      </xdr:nvSpPr>
      <xdr:spPr>
        <a:xfrm>
          <a:off x="1640739" y="5294667"/>
          <a:ext cx="3994705" cy="2152779"/>
        </a:xfrm>
        <a:prstGeom prst="roundRect">
          <a:avLst>
            <a:gd name="adj" fmla="val 3065"/>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202786</xdr:colOff>
      <xdr:row>28</xdr:row>
      <xdr:rowOff>176182</xdr:rowOff>
    </xdr:from>
    <xdr:to>
      <xdr:col>14</xdr:col>
      <xdr:colOff>133146</xdr:colOff>
      <xdr:row>40</xdr:row>
      <xdr:rowOff>135325</xdr:rowOff>
    </xdr:to>
    <xdr:sp macro="" textlink="">
      <xdr:nvSpPr>
        <xdr:cNvPr id="15" name="Rectangle: Rounded Corners 14">
          <a:extLst>
            <a:ext uri="{FF2B5EF4-FFF2-40B4-BE49-F238E27FC236}">
              <a16:creationId xmlns:a16="http://schemas.microsoft.com/office/drawing/2014/main" id="{83D05F50-D4FD-775E-745C-2523F76A13DD}"/>
            </a:ext>
          </a:extLst>
        </xdr:cNvPr>
        <xdr:cNvSpPr/>
      </xdr:nvSpPr>
      <xdr:spPr>
        <a:xfrm>
          <a:off x="5692463" y="5338117"/>
          <a:ext cx="4047618" cy="2171402"/>
        </a:xfrm>
        <a:prstGeom prst="roundRect">
          <a:avLst>
            <a:gd name="adj" fmla="val 4752"/>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162838</xdr:colOff>
      <xdr:row>28</xdr:row>
      <xdr:rowOff>176182</xdr:rowOff>
    </xdr:from>
    <xdr:to>
      <xdr:col>22</xdr:col>
      <xdr:colOff>27214</xdr:colOff>
      <xdr:row>40</xdr:row>
      <xdr:rowOff>135325</xdr:rowOff>
    </xdr:to>
    <xdr:sp macro="" textlink="">
      <xdr:nvSpPr>
        <xdr:cNvPr id="17" name="Rectangle: Rounded Corners 16">
          <a:extLst>
            <a:ext uri="{FF2B5EF4-FFF2-40B4-BE49-F238E27FC236}">
              <a16:creationId xmlns:a16="http://schemas.microsoft.com/office/drawing/2014/main" id="{44AC96FC-C962-7937-878E-CFDF85BBC77E}"/>
            </a:ext>
          </a:extLst>
        </xdr:cNvPr>
        <xdr:cNvSpPr/>
      </xdr:nvSpPr>
      <xdr:spPr>
        <a:xfrm>
          <a:off x="9814838" y="5256182"/>
          <a:ext cx="5379805" cy="2136286"/>
        </a:xfrm>
        <a:prstGeom prst="roundRect">
          <a:avLst>
            <a:gd name="adj" fmla="val 4405"/>
          </a:avLst>
        </a:prstGeom>
        <a:solidFill>
          <a:srgbClr val="0E1F2B"/>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21431</xdr:colOff>
      <xdr:row>0</xdr:row>
      <xdr:rowOff>95250</xdr:rowOff>
    </xdr:from>
    <xdr:to>
      <xdr:col>2</xdr:col>
      <xdr:colOff>396478</xdr:colOff>
      <xdr:row>6</xdr:row>
      <xdr:rowOff>173831</xdr:rowOff>
    </xdr:to>
    <xdr:pic>
      <xdr:nvPicPr>
        <xdr:cNvPr id="20" name="Picture 19">
          <a:extLst>
            <a:ext uri="{FF2B5EF4-FFF2-40B4-BE49-F238E27FC236}">
              <a16:creationId xmlns:a16="http://schemas.microsoft.com/office/drawing/2014/main" id="{9D2A825D-B68D-6FCF-B6F3-576DB8CC17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31" y="95250"/>
          <a:ext cx="1746647" cy="1164431"/>
        </a:xfrm>
        <a:prstGeom prst="rect">
          <a:avLst/>
        </a:prstGeom>
      </xdr:spPr>
    </xdr:pic>
    <xdr:clientData/>
  </xdr:twoCellAnchor>
  <xdr:twoCellAnchor>
    <xdr:from>
      <xdr:col>3</xdr:col>
      <xdr:colOff>614833</xdr:colOff>
      <xdr:row>0</xdr:row>
      <xdr:rowOff>174010</xdr:rowOff>
    </xdr:from>
    <xdr:to>
      <xdr:col>16</xdr:col>
      <xdr:colOff>614832</xdr:colOff>
      <xdr:row>5</xdr:row>
      <xdr:rowOff>102924</xdr:rowOff>
    </xdr:to>
    <xdr:sp macro="" textlink="">
      <xdr:nvSpPr>
        <xdr:cNvPr id="22" name="TextBox 21">
          <a:extLst>
            <a:ext uri="{FF2B5EF4-FFF2-40B4-BE49-F238E27FC236}">
              <a16:creationId xmlns:a16="http://schemas.microsoft.com/office/drawing/2014/main" id="{33E49960-C9B0-C063-03AE-5DB0F87DD8AC}"/>
            </a:ext>
          </a:extLst>
        </xdr:cNvPr>
        <xdr:cNvSpPr txBox="1"/>
      </xdr:nvSpPr>
      <xdr:spPr>
        <a:xfrm>
          <a:off x="2673032" y="174010"/>
          <a:ext cx="8918863" cy="828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rPr>
            <a:t>AfriMart KollyBright Dashboard</a:t>
          </a:r>
        </a:p>
      </xdr:txBody>
    </xdr:sp>
    <xdr:clientData/>
  </xdr:twoCellAnchor>
  <xdr:twoCellAnchor editAs="oneCell">
    <xdr:from>
      <xdr:col>2</xdr:col>
      <xdr:colOff>517090</xdr:colOff>
      <xdr:row>0</xdr:row>
      <xdr:rowOff>110652</xdr:rowOff>
    </xdr:from>
    <xdr:to>
      <xdr:col>3</xdr:col>
      <xdr:colOff>625481</xdr:colOff>
      <xdr:row>4</xdr:row>
      <xdr:rowOff>173181</xdr:rowOff>
    </xdr:to>
    <xdr:pic>
      <xdr:nvPicPr>
        <xdr:cNvPr id="24" name="Graphic 23" descr="Shopping cart with solid fill">
          <a:extLst>
            <a:ext uri="{FF2B5EF4-FFF2-40B4-BE49-F238E27FC236}">
              <a16:creationId xmlns:a16="http://schemas.microsoft.com/office/drawing/2014/main" id="{C04347C4-E252-3D1C-4251-293D26DB22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6309" y="110652"/>
          <a:ext cx="793000" cy="776904"/>
        </a:xfrm>
        <a:prstGeom prst="rect">
          <a:avLst/>
        </a:prstGeom>
      </xdr:spPr>
    </xdr:pic>
    <xdr:clientData/>
  </xdr:twoCellAnchor>
  <xdr:twoCellAnchor editAs="oneCell">
    <xdr:from>
      <xdr:col>0</xdr:col>
      <xdr:colOff>458335</xdr:colOff>
      <xdr:row>6</xdr:row>
      <xdr:rowOff>117213</xdr:rowOff>
    </xdr:from>
    <xdr:to>
      <xdr:col>1</xdr:col>
      <xdr:colOff>387113</xdr:colOff>
      <xdr:row>9</xdr:row>
      <xdr:rowOff>181624</xdr:rowOff>
    </xdr:to>
    <xdr:pic>
      <xdr:nvPicPr>
        <xdr:cNvPr id="28" name="Graphic 27" descr="Books on shelf with solid fill">
          <a:extLst>
            <a:ext uri="{FF2B5EF4-FFF2-40B4-BE49-F238E27FC236}">
              <a16:creationId xmlns:a16="http://schemas.microsoft.com/office/drawing/2014/main" id="{5A5AF2D3-E505-2075-C438-105AC44727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8335" y="1217427"/>
          <a:ext cx="616412" cy="614518"/>
        </a:xfrm>
        <a:prstGeom prst="rect">
          <a:avLst/>
        </a:prstGeom>
      </xdr:spPr>
    </xdr:pic>
    <xdr:clientData/>
  </xdr:twoCellAnchor>
  <xdr:twoCellAnchor editAs="oneCell">
    <xdr:from>
      <xdr:col>0</xdr:col>
      <xdr:colOff>453329</xdr:colOff>
      <xdr:row>13</xdr:row>
      <xdr:rowOff>18622</xdr:rowOff>
    </xdr:from>
    <xdr:to>
      <xdr:col>1</xdr:col>
      <xdr:colOff>356521</xdr:colOff>
      <xdr:row>16</xdr:row>
      <xdr:rowOff>57934</xdr:rowOff>
    </xdr:to>
    <xdr:pic>
      <xdr:nvPicPr>
        <xdr:cNvPr id="30" name="Graphic 29" descr="Statistics with solid fill">
          <a:hlinkClick xmlns:r="http://schemas.openxmlformats.org/officeDocument/2006/relationships" r:id="rId7"/>
          <a:extLst>
            <a:ext uri="{FF2B5EF4-FFF2-40B4-BE49-F238E27FC236}">
              <a16:creationId xmlns:a16="http://schemas.microsoft.com/office/drawing/2014/main" id="{822CCEA1-42FB-4170-EC6C-846326C6B5F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3329" y="2402419"/>
          <a:ext cx="590826" cy="589419"/>
        </a:xfrm>
        <a:prstGeom prst="rect">
          <a:avLst/>
        </a:prstGeom>
      </xdr:spPr>
    </xdr:pic>
    <xdr:clientData/>
  </xdr:twoCellAnchor>
  <xdr:twoCellAnchor editAs="oneCell">
    <xdr:from>
      <xdr:col>0</xdr:col>
      <xdr:colOff>473703</xdr:colOff>
      <xdr:row>9</xdr:row>
      <xdr:rowOff>150117</xdr:rowOff>
    </xdr:from>
    <xdr:to>
      <xdr:col>1</xdr:col>
      <xdr:colOff>420645</xdr:colOff>
      <xdr:row>13</xdr:row>
      <xdr:rowOff>52603</xdr:rowOff>
    </xdr:to>
    <xdr:pic>
      <xdr:nvPicPr>
        <xdr:cNvPr id="32" name="Graphic 31" descr="Magnifying glass with solid fill">
          <a:hlinkClick xmlns:r="http://schemas.openxmlformats.org/officeDocument/2006/relationships" r:id="rId10"/>
          <a:extLst>
            <a:ext uri="{FF2B5EF4-FFF2-40B4-BE49-F238E27FC236}">
              <a16:creationId xmlns:a16="http://schemas.microsoft.com/office/drawing/2014/main" id="{370BCA7E-B876-6944-017C-29AE83533DC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3703" y="1800438"/>
          <a:ext cx="634576" cy="635962"/>
        </a:xfrm>
        <a:prstGeom prst="rect">
          <a:avLst/>
        </a:prstGeom>
      </xdr:spPr>
    </xdr:pic>
    <xdr:clientData/>
  </xdr:twoCellAnchor>
  <xdr:twoCellAnchor>
    <xdr:from>
      <xdr:col>2</xdr:col>
      <xdr:colOff>358934</xdr:colOff>
      <xdr:row>9</xdr:row>
      <xdr:rowOff>93579</xdr:rowOff>
    </xdr:from>
    <xdr:to>
      <xdr:col>6</xdr:col>
      <xdr:colOff>185752</xdr:colOff>
      <xdr:row>14</xdr:row>
      <xdr:rowOff>112822</xdr:rowOff>
    </xdr:to>
    <xdr:sp macro="" textlink="'Pivot Table'!B35">
      <xdr:nvSpPr>
        <xdr:cNvPr id="33" name="TextBox 32">
          <a:extLst>
            <a:ext uri="{FF2B5EF4-FFF2-40B4-BE49-F238E27FC236}">
              <a16:creationId xmlns:a16="http://schemas.microsoft.com/office/drawing/2014/main" id="{DCA7DFC4-2729-085C-59FF-0E2C207E0EE4}"/>
            </a:ext>
          </a:extLst>
        </xdr:cNvPr>
        <xdr:cNvSpPr txBox="1"/>
      </xdr:nvSpPr>
      <xdr:spPr>
        <a:xfrm>
          <a:off x="1728587" y="1720477"/>
          <a:ext cx="2566125" cy="923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B8F849-A6B0-4523-ADE6-31A9D5F32527}" type="TxLink">
            <a:rPr lang="en-US" sz="2400" b="1" i="0" u="none" strike="noStrike">
              <a:solidFill>
                <a:schemeClr val="bg1"/>
              </a:solidFill>
              <a:latin typeface="Tw Cen MT"/>
            </a:rPr>
            <a:pPr/>
            <a:t>₦ 1,254,735,500</a:t>
          </a:fld>
          <a:endParaRPr lang="en-US" sz="2400" b="1">
            <a:solidFill>
              <a:schemeClr val="bg1"/>
            </a:solidFill>
          </a:endParaRPr>
        </a:p>
      </xdr:txBody>
    </xdr:sp>
    <xdr:clientData/>
  </xdr:twoCellAnchor>
  <xdr:twoCellAnchor>
    <xdr:from>
      <xdr:col>4</xdr:col>
      <xdr:colOff>542399</xdr:colOff>
      <xdr:row>7</xdr:row>
      <xdr:rowOff>57025</xdr:rowOff>
    </xdr:from>
    <xdr:to>
      <xdr:col>6</xdr:col>
      <xdr:colOff>132843</xdr:colOff>
      <xdr:row>8</xdr:row>
      <xdr:rowOff>117527</xdr:rowOff>
    </xdr:to>
    <xdr:sp macro="" textlink="">
      <xdr:nvSpPr>
        <xdr:cNvPr id="34" name="TextBox 33">
          <a:extLst>
            <a:ext uri="{FF2B5EF4-FFF2-40B4-BE49-F238E27FC236}">
              <a16:creationId xmlns:a16="http://schemas.microsoft.com/office/drawing/2014/main" id="{10BE381D-22F8-8CBB-719D-501751B955BA}"/>
            </a:ext>
          </a:extLst>
        </xdr:cNvPr>
        <xdr:cNvSpPr txBox="1"/>
      </xdr:nvSpPr>
      <xdr:spPr>
        <a:xfrm>
          <a:off x="3284324" y="1312412"/>
          <a:ext cx="961406" cy="23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C6D19"/>
              </a:solidFill>
            </a:rPr>
            <a:t>Revenue</a:t>
          </a:r>
        </a:p>
      </xdr:txBody>
    </xdr:sp>
    <xdr:clientData/>
  </xdr:twoCellAnchor>
  <xdr:twoCellAnchor editAs="oneCell">
    <xdr:from>
      <xdr:col>2</xdr:col>
      <xdr:colOff>417007</xdr:colOff>
      <xdr:row>6</xdr:row>
      <xdr:rowOff>73000</xdr:rowOff>
    </xdr:from>
    <xdr:to>
      <xdr:col>3</xdr:col>
      <xdr:colOff>292162</xdr:colOff>
      <xdr:row>9</xdr:row>
      <xdr:rowOff>100890</xdr:rowOff>
    </xdr:to>
    <xdr:pic>
      <xdr:nvPicPr>
        <xdr:cNvPr id="36" name="Graphic 35" descr="Money with solid fill">
          <a:extLst>
            <a:ext uri="{FF2B5EF4-FFF2-40B4-BE49-F238E27FC236}">
              <a16:creationId xmlns:a16="http://schemas.microsoft.com/office/drawing/2014/main" id="{96309604-9DAA-1CCF-651F-2D99413764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86660" y="1157599"/>
          <a:ext cx="559982" cy="570189"/>
        </a:xfrm>
        <a:prstGeom prst="rect">
          <a:avLst/>
        </a:prstGeom>
      </xdr:spPr>
    </xdr:pic>
    <xdr:clientData/>
  </xdr:twoCellAnchor>
  <xdr:twoCellAnchor>
    <xdr:from>
      <xdr:col>6</xdr:col>
      <xdr:colOff>319080</xdr:colOff>
      <xdr:row>9</xdr:row>
      <xdr:rowOff>93579</xdr:rowOff>
    </xdr:from>
    <xdr:to>
      <xdr:col>10</xdr:col>
      <xdr:colOff>145898</xdr:colOff>
      <xdr:row>14</xdr:row>
      <xdr:rowOff>112822</xdr:rowOff>
    </xdr:to>
    <xdr:sp macro="" textlink="'Pivot Table'!B36">
      <xdr:nvSpPr>
        <xdr:cNvPr id="37" name="TextBox 36">
          <a:extLst>
            <a:ext uri="{FF2B5EF4-FFF2-40B4-BE49-F238E27FC236}">
              <a16:creationId xmlns:a16="http://schemas.microsoft.com/office/drawing/2014/main" id="{E3BB8671-6A6E-3B8D-6F9A-ECED0BEE0034}"/>
            </a:ext>
          </a:extLst>
        </xdr:cNvPr>
        <xdr:cNvSpPr txBox="1"/>
      </xdr:nvSpPr>
      <xdr:spPr>
        <a:xfrm>
          <a:off x="4431967" y="1707648"/>
          <a:ext cx="2568743" cy="91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88DE20-CC30-40B7-BC0C-F9BC2C59229F}" type="TxLink">
            <a:rPr lang="en-US" sz="2400" b="1" i="0" u="none" strike="noStrike">
              <a:solidFill>
                <a:schemeClr val="bg1"/>
              </a:solidFill>
              <a:latin typeface="Tw Cen MT"/>
              <a:ea typeface="+mn-ea"/>
              <a:cs typeface="+mn-cs"/>
            </a:rPr>
            <a:pPr marL="0" indent="0"/>
            <a:t>₦ 237,119,250</a:t>
          </a:fld>
          <a:endParaRPr lang="en-US" sz="2400" b="1" i="0" u="none" strike="noStrike">
            <a:solidFill>
              <a:schemeClr val="bg1"/>
            </a:solidFill>
            <a:latin typeface="Tw Cen MT"/>
            <a:ea typeface="+mn-ea"/>
            <a:cs typeface="+mn-cs"/>
          </a:endParaRPr>
        </a:p>
      </xdr:txBody>
    </xdr:sp>
    <xdr:clientData/>
  </xdr:twoCellAnchor>
  <xdr:twoCellAnchor>
    <xdr:from>
      <xdr:col>9</xdr:col>
      <xdr:colOff>24302</xdr:colOff>
      <xdr:row>7</xdr:row>
      <xdr:rowOff>57025</xdr:rowOff>
    </xdr:from>
    <xdr:to>
      <xdr:col>10</xdr:col>
      <xdr:colOff>300227</xdr:colOff>
      <xdr:row>8</xdr:row>
      <xdr:rowOff>117527</xdr:rowOff>
    </xdr:to>
    <xdr:sp macro="" textlink="">
      <xdr:nvSpPr>
        <xdr:cNvPr id="38" name="TextBox 37">
          <a:extLst>
            <a:ext uri="{FF2B5EF4-FFF2-40B4-BE49-F238E27FC236}">
              <a16:creationId xmlns:a16="http://schemas.microsoft.com/office/drawing/2014/main" id="{B606BCAE-B929-4868-D842-BE68F3BA0882}"/>
            </a:ext>
          </a:extLst>
        </xdr:cNvPr>
        <xdr:cNvSpPr txBox="1"/>
      </xdr:nvSpPr>
      <xdr:spPr>
        <a:xfrm>
          <a:off x="6193633" y="1312412"/>
          <a:ext cx="961406" cy="23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C6D19"/>
              </a:solidFill>
            </a:rPr>
            <a:t>Profit</a:t>
          </a:r>
        </a:p>
      </xdr:txBody>
    </xdr:sp>
    <xdr:clientData/>
  </xdr:twoCellAnchor>
  <xdr:twoCellAnchor editAs="oneCell">
    <xdr:from>
      <xdr:col>6</xdr:col>
      <xdr:colOff>344960</xdr:colOff>
      <xdr:row>6</xdr:row>
      <xdr:rowOff>159544</xdr:rowOff>
    </xdr:from>
    <xdr:to>
      <xdr:col>7</xdr:col>
      <xdr:colOff>174268</xdr:colOff>
      <xdr:row>9</xdr:row>
      <xdr:rowOff>136069</xdr:rowOff>
    </xdr:to>
    <xdr:pic>
      <xdr:nvPicPr>
        <xdr:cNvPr id="41" name="Graphic 40" descr="Upward trend with solid fill">
          <a:extLst>
            <a:ext uri="{FF2B5EF4-FFF2-40B4-BE49-F238E27FC236}">
              <a16:creationId xmlns:a16="http://schemas.microsoft.com/office/drawing/2014/main" id="{A509BE8E-443D-5595-AD64-D40E840C419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459760" y="1245394"/>
          <a:ext cx="515108" cy="519450"/>
        </a:xfrm>
        <a:prstGeom prst="rect">
          <a:avLst/>
        </a:prstGeom>
      </xdr:spPr>
    </xdr:pic>
    <xdr:clientData/>
  </xdr:twoCellAnchor>
  <xdr:twoCellAnchor>
    <xdr:from>
      <xdr:col>10</xdr:col>
      <xdr:colOff>264190</xdr:colOff>
      <xdr:row>9</xdr:row>
      <xdr:rowOff>93579</xdr:rowOff>
    </xdr:from>
    <xdr:to>
      <xdr:col>14</xdr:col>
      <xdr:colOff>91008</xdr:colOff>
      <xdr:row>14</xdr:row>
      <xdr:rowOff>112822</xdr:rowOff>
    </xdr:to>
    <xdr:sp macro="" textlink="'Pivot Table'!B37">
      <xdr:nvSpPr>
        <xdr:cNvPr id="42" name="TextBox 41">
          <a:extLst>
            <a:ext uri="{FF2B5EF4-FFF2-40B4-BE49-F238E27FC236}">
              <a16:creationId xmlns:a16="http://schemas.microsoft.com/office/drawing/2014/main" id="{F2274DA3-5575-0D07-B750-FD8A4287CC0B}"/>
            </a:ext>
          </a:extLst>
        </xdr:cNvPr>
        <xdr:cNvSpPr txBox="1"/>
      </xdr:nvSpPr>
      <xdr:spPr>
        <a:xfrm>
          <a:off x="7109275" y="1720901"/>
          <a:ext cx="2564852" cy="9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943D43-4245-4596-9B91-C52529C7D2C0}" type="TxLink">
            <a:rPr lang="en-US" sz="2400" b="1" i="0" u="none" strike="noStrike">
              <a:solidFill>
                <a:schemeClr val="bg1"/>
              </a:solidFill>
              <a:latin typeface="Tw Cen MT"/>
              <a:ea typeface="+mn-ea"/>
              <a:cs typeface="+mn-cs"/>
            </a:rPr>
            <a:pPr marL="0" indent="0"/>
            <a:t>97367</a:t>
          </a:fld>
          <a:endParaRPr lang="en-US" sz="2400" b="1" i="0" u="none" strike="noStrike">
            <a:solidFill>
              <a:schemeClr val="bg1"/>
            </a:solidFill>
            <a:latin typeface="Tw Cen MT"/>
            <a:ea typeface="+mn-ea"/>
            <a:cs typeface="+mn-cs"/>
          </a:endParaRPr>
        </a:p>
      </xdr:txBody>
    </xdr:sp>
    <xdr:clientData/>
  </xdr:twoCellAnchor>
  <xdr:twoCellAnchor>
    <xdr:from>
      <xdr:col>12</xdr:col>
      <xdr:colOff>439118</xdr:colOff>
      <xdr:row>7</xdr:row>
      <xdr:rowOff>57025</xdr:rowOff>
    </xdr:from>
    <xdr:to>
      <xdr:col>14</xdr:col>
      <xdr:colOff>245337</xdr:colOff>
      <xdr:row>8</xdr:row>
      <xdr:rowOff>117527</xdr:rowOff>
    </xdr:to>
    <xdr:sp macro="" textlink="">
      <xdr:nvSpPr>
        <xdr:cNvPr id="43" name="TextBox 42">
          <a:extLst>
            <a:ext uri="{FF2B5EF4-FFF2-40B4-BE49-F238E27FC236}">
              <a16:creationId xmlns:a16="http://schemas.microsoft.com/office/drawing/2014/main" id="{20E579BD-9155-C78E-556C-44107D2398DE}"/>
            </a:ext>
          </a:extLst>
        </xdr:cNvPr>
        <xdr:cNvSpPr txBox="1"/>
      </xdr:nvSpPr>
      <xdr:spPr>
        <a:xfrm>
          <a:off x="8653220" y="1322720"/>
          <a:ext cx="1175236" cy="241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C6D19"/>
              </a:solidFill>
            </a:rPr>
            <a:t>Unit Sold</a:t>
          </a:r>
        </a:p>
      </xdr:txBody>
    </xdr:sp>
    <xdr:clientData/>
  </xdr:twoCellAnchor>
  <xdr:twoCellAnchor editAs="oneCell">
    <xdr:from>
      <xdr:col>10</xdr:col>
      <xdr:colOff>368708</xdr:colOff>
      <xdr:row>7</xdr:row>
      <xdr:rowOff>2</xdr:rowOff>
    </xdr:from>
    <xdr:to>
      <xdr:col>11</xdr:col>
      <xdr:colOff>199717</xdr:colOff>
      <xdr:row>9</xdr:row>
      <xdr:rowOff>145950</xdr:rowOff>
    </xdr:to>
    <xdr:pic>
      <xdr:nvPicPr>
        <xdr:cNvPr id="46" name="Graphic 45" descr="Coins with solid fill">
          <a:extLst>
            <a:ext uri="{FF2B5EF4-FFF2-40B4-BE49-F238E27FC236}">
              <a16:creationId xmlns:a16="http://schemas.microsoft.com/office/drawing/2014/main" id="{A36E6600-F3E8-1305-F61C-6D433B913A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205200" y="1290486"/>
          <a:ext cx="514658" cy="514658"/>
        </a:xfrm>
        <a:prstGeom prst="rect">
          <a:avLst/>
        </a:prstGeom>
      </xdr:spPr>
    </xdr:pic>
    <xdr:clientData/>
  </xdr:twoCellAnchor>
  <xdr:twoCellAnchor>
    <xdr:from>
      <xdr:col>2</xdr:col>
      <xdr:colOff>345245</xdr:colOff>
      <xdr:row>13</xdr:row>
      <xdr:rowOff>78059</xdr:rowOff>
    </xdr:from>
    <xdr:to>
      <xdr:col>8</xdr:col>
      <xdr:colOff>46921</xdr:colOff>
      <xdr:row>28</xdr:row>
      <xdr:rowOff>85355</xdr:rowOff>
    </xdr:to>
    <xdr:graphicFrame macro="">
      <xdr:nvGraphicFramePr>
        <xdr:cNvPr id="47" name="Chart 46">
          <a:extLst>
            <a:ext uri="{FF2B5EF4-FFF2-40B4-BE49-F238E27FC236}">
              <a16:creationId xmlns:a16="http://schemas.microsoft.com/office/drawing/2014/main" id="{28487D8F-8EC1-4B97-BC8D-CFCA03A3D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210910</xdr:colOff>
      <xdr:row>13</xdr:row>
      <xdr:rowOff>71687</xdr:rowOff>
    </xdr:from>
    <xdr:to>
      <xdr:col>14</xdr:col>
      <xdr:colOff>153865</xdr:colOff>
      <xdr:row>28</xdr:row>
      <xdr:rowOff>27082</xdr:rowOff>
    </xdr:to>
    <xdr:graphicFrame macro="">
      <xdr:nvGraphicFramePr>
        <xdr:cNvPr id="48" name="Chart 47">
          <a:extLst>
            <a:ext uri="{FF2B5EF4-FFF2-40B4-BE49-F238E27FC236}">
              <a16:creationId xmlns:a16="http://schemas.microsoft.com/office/drawing/2014/main" id="{056B96FA-5F2D-4DCD-9609-92902C37D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280742</xdr:colOff>
      <xdr:row>29</xdr:row>
      <xdr:rowOff>43625</xdr:rowOff>
    </xdr:from>
    <xdr:to>
      <xdr:col>8</xdr:col>
      <xdr:colOff>174504</xdr:colOff>
      <xdr:row>40</xdr:row>
      <xdr:rowOff>130877</xdr:rowOff>
    </xdr:to>
    <xdr:graphicFrame macro="">
      <xdr:nvGraphicFramePr>
        <xdr:cNvPr id="49" name="Chart 48">
          <a:extLst>
            <a:ext uri="{FF2B5EF4-FFF2-40B4-BE49-F238E27FC236}">
              <a16:creationId xmlns:a16="http://schemas.microsoft.com/office/drawing/2014/main" id="{5933E226-F073-478B-8D8F-D08CCCD4F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182966</xdr:colOff>
      <xdr:row>6</xdr:row>
      <xdr:rowOff>131885</xdr:rowOff>
    </xdr:from>
    <xdr:to>
      <xdr:col>22</xdr:col>
      <xdr:colOff>26907</xdr:colOff>
      <xdr:row>28</xdr:row>
      <xdr:rowOff>105461</xdr:rowOff>
    </xdr:to>
    <xdr:graphicFrame macro="">
      <xdr:nvGraphicFramePr>
        <xdr:cNvPr id="50" name="Chart 49">
          <a:extLst>
            <a:ext uri="{FF2B5EF4-FFF2-40B4-BE49-F238E27FC236}">
              <a16:creationId xmlns:a16="http://schemas.microsoft.com/office/drawing/2014/main" id="{7E1CAFC3-63FC-42E6-B843-A6E1182D1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249511</xdr:colOff>
      <xdr:row>29</xdr:row>
      <xdr:rowOff>16998</xdr:rowOff>
    </xdr:from>
    <xdr:to>
      <xdr:col>14</xdr:col>
      <xdr:colOff>87819</xdr:colOff>
      <xdr:row>40</xdr:row>
      <xdr:rowOff>81064</xdr:rowOff>
    </xdr:to>
    <xdr:graphicFrame macro="">
      <xdr:nvGraphicFramePr>
        <xdr:cNvPr id="51" name="Chart 50">
          <a:extLst>
            <a:ext uri="{FF2B5EF4-FFF2-40B4-BE49-F238E27FC236}">
              <a16:creationId xmlns:a16="http://schemas.microsoft.com/office/drawing/2014/main" id="{11036800-1230-47D6-9B18-48DC35323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154214</xdr:colOff>
      <xdr:row>28</xdr:row>
      <xdr:rowOff>152074</xdr:rowOff>
    </xdr:from>
    <xdr:to>
      <xdr:col>22</xdr:col>
      <xdr:colOff>63499</xdr:colOff>
      <xdr:row>40</xdr:row>
      <xdr:rowOff>122464</xdr:rowOff>
    </xdr:to>
    <xdr:graphicFrame macro="">
      <xdr:nvGraphicFramePr>
        <xdr:cNvPr id="52" name="Chart 51">
          <a:extLst>
            <a:ext uri="{FF2B5EF4-FFF2-40B4-BE49-F238E27FC236}">
              <a16:creationId xmlns:a16="http://schemas.microsoft.com/office/drawing/2014/main" id="{9AA9DA5D-A37E-4E6B-A3D2-0E00FE572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63172</xdr:colOff>
      <xdr:row>16</xdr:row>
      <xdr:rowOff>46385</xdr:rowOff>
    </xdr:from>
    <xdr:to>
      <xdr:col>2</xdr:col>
      <xdr:colOff>239398</xdr:colOff>
      <xdr:row>32</xdr:row>
      <xdr:rowOff>93745</xdr:rowOff>
    </xdr:to>
    <mc:AlternateContent xmlns:mc="http://schemas.openxmlformats.org/markup-compatibility/2006">
      <mc:Choice xmlns:a14="http://schemas.microsoft.com/office/drawing/2010/main" Requires="a14">
        <xdr:graphicFrame macro="">
          <xdr:nvGraphicFramePr>
            <xdr:cNvPr id="53" name="Country">
              <a:extLst>
                <a:ext uri="{FF2B5EF4-FFF2-40B4-BE49-F238E27FC236}">
                  <a16:creationId xmlns:a16="http://schemas.microsoft.com/office/drawing/2014/main" id="{7D534B2C-A74E-49D9-B3B9-0F78A3748B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3172" y="2868607"/>
              <a:ext cx="1540300" cy="2869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66215</xdr:colOff>
      <xdr:row>32</xdr:row>
      <xdr:rowOff>47911</xdr:rowOff>
    </xdr:from>
    <xdr:to>
      <xdr:col>2</xdr:col>
      <xdr:colOff>249585</xdr:colOff>
      <xdr:row>40</xdr:row>
      <xdr:rowOff>129408</xdr:rowOff>
    </xdr:to>
    <mc:AlternateContent xmlns:mc="http://schemas.openxmlformats.org/markup-compatibility/2006">
      <mc:Choice xmlns:a14="http://schemas.microsoft.com/office/drawing/2010/main" Requires="a14">
        <xdr:graphicFrame macro="">
          <xdr:nvGraphicFramePr>
            <xdr:cNvPr id="54" name="Years (Date)">
              <a:extLst>
                <a:ext uri="{FF2B5EF4-FFF2-40B4-BE49-F238E27FC236}">
                  <a16:creationId xmlns:a16="http://schemas.microsoft.com/office/drawing/2014/main" id="{9652AD55-BD2C-45E4-8187-48C60949D26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6215" y="5692355"/>
              <a:ext cx="1547444" cy="1492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ntra COuncil" refreshedDate="46039.539275578703" createdVersion="8" refreshedVersion="8" minRefreshableVersion="3" recordCount="700" xr:uid="{B38CD854-8549-4C06-9EC6-276B6086F99D}">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753391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37D2A4-121D-4A2E-97CF-BFC5FFE7DC7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7" firstHeaderRow="1" firstDataRow="1" firstDataCol="1"/>
  <pivotFields count="10">
    <pivotField showAll="0">
      <items count="11">
        <item h="1" x="0"/>
        <item h="1" x="3"/>
        <item h="1" x="7"/>
        <item h="1" x="5"/>
        <item h="1" x="8"/>
        <item h="1" x="4"/>
        <item h="1" x="6"/>
        <item h="1" x="1"/>
        <item x="9"/>
        <item h="1"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8"/>
    <field x="7"/>
    <field x="6"/>
  </rowFields>
  <rowItems count="4">
    <i>
      <x v="1"/>
    </i>
    <i>
      <x v="2"/>
    </i>
    <i>
      <x v="3"/>
    </i>
    <i t="grand">
      <x/>
    </i>
  </rowItems>
  <colItems count="1">
    <i/>
  </colItems>
  <dataFields count="1">
    <dataField name="Sum of Revenue" fld="3" baseField="0" baseItem="0"/>
  </dataFields>
  <formats count="4">
    <format dxfId="438">
      <pivotArea outline="0" collapsedLevelsAreSubtotals="1" fieldPosition="0"/>
    </format>
    <format dxfId="439">
      <pivotArea collapsedLevelsAreSubtotals="1" fieldPosition="0">
        <references count="1">
          <reference field="9" count="1">
            <x v="1"/>
          </reference>
        </references>
      </pivotArea>
    </format>
    <format dxfId="440">
      <pivotArea collapsedLevelsAreSubtotals="1" fieldPosition="0">
        <references count="1">
          <reference field="9" count="1">
            <x v="2"/>
          </reference>
        </references>
      </pivotArea>
    </format>
    <format dxfId="441">
      <pivotArea collapsedLevelsAreSubtotals="1" fieldPosition="0">
        <references count="1">
          <reference field="9" count="1">
            <x v="3"/>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6DA81-4211-42BB-9FEA-49F9DF3FB3A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8:F31" firstHeaderRow="0" firstDataRow="1" firstDataCol="1"/>
  <pivotFields count="10">
    <pivotField showAll="0">
      <items count="11">
        <item h="1" sd="0" x="0"/>
        <item h="1" sd="0" x="3"/>
        <item h="1" sd="0" x="7"/>
        <item h="1" sd="0" x="5"/>
        <item h="1" sd="0" x="8"/>
        <item h="1" sd="0" x="4"/>
        <item h="1" sd="0" x="6"/>
        <item h="1" sd="0" x="1"/>
        <item sd="0" x="9"/>
        <item h="1" sd="0"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18">
    <format dxfId="445">
      <pivotArea outline="0" collapsedLevelsAreSubtotals="1" fieldPosition="0"/>
    </format>
    <format dxfId="446">
      <pivotArea collapsedLevelsAreSubtotals="1" fieldPosition="0">
        <references count="2">
          <reference field="4294967294" count="1" selected="0">
            <x v="0"/>
          </reference>
          <reference field="7" count="1">
            <x v="1"/>
          </reference>
        </references>
      </pivotArea>
    </format>
    <format dxfId="447">
      <pivotArea collapsedLevelsAreSubtotals="1" fieldPosition="0">
        <references count="2">
          <reference field="4294967294" count="1" selected="0">
            <x v="0"/>
          </reference>
          <reference field="7" count="1">
            <x v="2"/>
          </reference>
        </references>
      </pivotArea>
    </format>
    <format dxfId="448">
      <pivotArea collapsedLevelsAreSubtotals="1" fieldPosition="0">
        <references count="2">
          <reference field="4294967294" count="1" selected="0">
            <x v="0"/>
          </reference>
          <reference field="7" count="1">
            <x v="3"/>
          </reference>
        </references>
      </pivotArea>
    </format>
    <format dxfId="449">
      <pivotArea collapsedLevelsAreSubtotals="1" fieldPosition="0">
        <references count="2">
          <reference field="4294967294" count="1" selected="0">
            <x v="0"/>
          </reference>
          <reference field="7" count="1">
            <x v="4"/>
          </reference>
        </references>
      </pivotArea>
    </format>
    <format dxfId="450">
      <pivotArea collapsedLevelsAreSubtotals="1" fieldPosition="0">
        <references count="2">
          <reference field="4294967294" count="1" selected="0">
            <x v="0"/>
          </reference>
          <reference field="7" count="1">
            <x v="5"/>
          </reference>
        </references>
      </pivotArea>
    </format>
    <format dxfId="451">
      <pivotArea collapsedLevelsAreSubtotals="1" fieldPosition="0">
        <references count="2">
          <reference field="4294967294" count="1" selected="0">
            <x v="0"/>
          </reference>
          <reference field="7" count="1">
            <x v="6"/>
          </reference>
        </references>
      </pivotArea>
    </format>
    <format dxfId="452">
      <pivotArea collapsedLevelsAreSubtotals="1" fieldPosition="0">
        <references count="2">
          <reference field="4294967294" count="1" selected="0">
            <x v="0"/>
          </reference>
          <reference field="7" count="1">
            <x v="7"/>
          </reference>
        </references>
      </pivotArea>
    </format>
    <format dxfId="453">
      <pivotArea collapsedLevelsAreSubtotals="1" fieldPosition="0">
        <references count="2">
          <reference field="4294967294" count="1" selected="0">
            <x v="0"/>
          </reference>
          <reference field="7" count="1">
            <x v="8"/>
          </reference>
        </references>
      </pivotArea>
    </format>
    <format dxfId="454">
      <pivotArea collapsedLevelsAreSubtotals="1" fieldPosition="0">
        <references count="2">
          <reference field="4294967294" count="1" selected="0">
            <x v="0"/>
          </reference>
          <reference field="7" count="1">
            <x v="9"/>
          </reference>
        </references>
      </pivotArea>
    </format>
    <format dxfId="455">
      <pivotArea collapsedLevelsAreSubtotals="1" fieldPosition="0">
        <references count="2">
          <reference field="4294967294" count="1" selected="0">
            <x v="0"/>
          </reference>
          <reference field="7" count="1">
            <x v="10"/>
          </reference>
        </references>
      </pivotArea>
    </format>
    <format dxfId="456">
      <pivotArea collapsedLevelsAreSubtotals="1" fieldPosition="0">
        <references count="2">
          <reference field="4294967294" count="1" selected="0">
            <x v="0"/>
          </reference>
          <reference field="7" count="1">
            <x v="11"/>
          </reference>
        </references>
      </pivotArea>
    </format>
    <format dxfId="457">
      <pivotArea collapsedLevelsAreSubtotals="1" fieldPosition="0">
        <references count="2">
          <reference field="4294967294" count="1" selected="0">
            <x v="0"/>
          </reference>
          <reference field="7" count="1">
            <x v="12"/>
          </reference>
        </references>
      </pivotArea>
    </format>
    <format dxfId="458">
      <pivotArea collapsedLevelsAreSubtotals="1" fieldPosition="0">
        <references count="2">
          <reference field="4294967294" count="1" selected="0">
            <x v="0"/>
          </reference>
          <reference field="7" count="1">
            <x v="1"/>
          </reference>
        </references>
      </pivotArea>
    </format>
    <format dxfId="459">
      <pivotArea collapsedLevelsAreSubtotals="1" fieldPosition="0">
        <references count="2">
          <reference field="4294967294" count="1" selected="0">
            <x v="0"/>
          </reference>
          <reference field="7" count="1">
            <x v="2"/>
          </reference>
        </references>
      </pivotArea>
    </format>
    <format dxfId="460">
      <pivotArea collapsedLevelsAreSubtotals="1" fieldPosition="0">
        <references count="2">
          <reference field="4294967294" count="1" selected="0">
            <x v="0"/>
          </reference>
          <reference field="7" count="1">
            <x v="3"/>
          </reference>
        </references>
      </pivotArea>
    </format>
    <format dxfId="461">
      <pivotArea collapsedLevelsAreSubtotals="1" fieldPosition="0">
        <references count="2">
          <reference field="4294967294" count="1" selected="0">
            <x v="0"/>
          </reference>
          <reference field="7" count="1">
            <x v="4"/>
          </reference>
        </references>
      </pivotArea>
    </format>
    <format dxfId="462">
      <pivotArea collapsedLevelsAreSubtotals="1" fieldPosition="0">
        <references count="2">
          <reference field="4294967294" count="1" selected="0">
            <x v="0"/>
          </reference>
          <reference field="7" count="1">
            <x v="5"/>
          </reference>
        </references>
      </pivotArea>
    </format>
  </format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1"/>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620FE-96D5-428F-85D6-40D055CDC4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1" firstHeaderRow="1" firstDataRow="1" firstDataCol="1"/>
  <pivotFields count="10">
    <pivotField showAll="0">
      <items count="11">
        <item h="1" x="0"/>
        <item h="1" x="3"/>
        <item h="1" x="7"/>
        <item h="1" x="5"/>
        <item h="1" x="8"/>
        <item h="1" x="4"/>
        <item h="1" x="6"/>
        <item h="1" x="1"/>
        <item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1"/>
    </i>
    <i>
      <x v="2"/>
    </i>
    <i>
      <x v="3"/>
    </i>
    <i>
      <x/>
    </i>
    <i t="grand">
      <x/>
    </i>
  </rowItems>
  <colItems count="1">
    <i/>
  </colItems>
  <dataFields count="1">
    <dataField name="Sum of Profit" fld="5" baseField="0" baseItem="0" numFmtId="165"/>
  </dataFields>
  <formats count="1">
    <format dxfId="4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953B3-D4C8-44D2-B02C-088359D7B16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0" firstHeaderRow="1" firstDataRow="1" firstDataCol="1"/>
  <pivotFields count="10">
    <pivotField axis="axisRow" showAll="0" sortType="descending">
      <items count="11">
        <item h="1" sd="0" x="0"/>
        <item h="1" sd="0" x="3"/>
        <item h="1" sd="0" x="7"/>
        <item h="1" sd="0" x="5"/>
        <item h="1" sd="0" x="8"/>
        <item h="1" sd="0" x="4"/>
        <item h="1" sd="0" x="6"/>
        <item h="1" sd="0" x="1"/>
        <item sd="0" x="9"/>
        <item h="1" sd="0" x="2"/>
        <item t="default"/>
      </items>
      <autoSortScope>
        <pivotArea dataOnly="0" outline="0" fieldPosition="0">
          <references count="1">
            <reference field="4294967294" count="1" selected="0">
              <x v="0"/>
            </reference>
          </references>
        </pivotArea>
      </autoSortScope>
    </pivotField>
    <pivotField axis="axisRow"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2">
    <i>
      <x v="8"/>
    </i>
    <i t="grand">
      <x/>
    </i>
  </rowItems>
  <colItems count="1">
    <i/>
  </colItems>
  <dataFields count="1">
    <dataField name="Sum of Revenue" fld="3" baseField="0" baseItem="0"/>
  </dataFields>
  <formats count="11">
    <format dxfId="425">
      <pivotArea outline="0" collapsedLevelsAreSubtotals="1" fieldPosition="0"/>
    </format>
    <format dxfId="426">
      <pivotArea collapsedLevelsAreSubtotals="1" fieldPosition="0">
        <references count="1">
          <reference field="0" count="1">
            <x v="4"/>
          </reference>
        </references>
      </pivotArea>
    </format>
    <format dxfId="427">
      <pivotArea collapsedLevelsAreSubtotals="1" fieldPosition="0">
        <references count="1">
          <reference field="0" count="1">
            <x v="8"/>
          </reference>
        </references>
      </pivotArea>
    </format>
    <format dxfId="428">
      <pivotArea collapsedLevelsAreSubtotals="1" fieldPosition="0">
        <references count="1">
          <reference field="0" count="1">
            <x v="0"/>
          </reference>
        </references>
      </pivotArea>
    </format>
    <format dxfId="429">
      <pivotArea collapsedLevelsAreSubtotals="1" fieldPosition="0">
        <references count="1">
          <reference field="0" count="1">
            <x v="3"/>
          </reference>
        </references>
      </pivotArea>
    </format>
    <format dxfId="430">
      <pivotArea collapsedLevelsAreSubtotals="1" fieldPosition="0">
        <references count="1">
          <reference field="0" count="1">
            <x v="5"/>
          </reference>
        </references>
      </pivotArea>
    </format>
    <format dxfId="431">
      <pivotArea collapsedLevelsAreSubtotals="1" fieldPosition="0">
        <references count="1">
          <reference field="0" count="1">
            <x v="2"/>
          </reference>
        </references>
      </pivotArea>
    </format>
    <format dxfId="432">
      <pivotArea collapsedLevelsAreSubtotals="1" fieldPosition="0">
        <references count="1">
          <reference field="0" count="1">
            <x v="9"/>
          </reference>
        </references>
      </pivotArea>
    </format>
    <format dxfId="433">
      <pivotArea collapsedLevelsAreSubtotals="1" fieldPosition="0">
        <references count="1">
          <reference field="0" count="1">
            <x v="1"/>
          </reference>
        </references>
      </pivotArea>
    </format>
    <format dxfId="434">
      <pivotArea collapsedLevelsAreSubtotals="1" fieldPosition="0">
        <references count="1">
          <reference field="0" count="1">
            <x v="7"/>
          </reference>
        </references>
      </pivotArea>
    </format>
    <format dxfId="435">
      <pivotArea collapsedLevelsAreSubtotals="1" fieldPosition="0">
        <references count="1">
          <reference field="0"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3BA432-E696-42D3-B082-08CFCB7BC4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1" firstHeaderRow="1" firstDataRow="1" firstDataCol="1"/>
  <pivotFields count="10">
    <pivotField showAll="0">
      <items count="11">
        <item h="1" x="0"/>
        <item h="1" x="3"/>
        <item h="1" x="7"/>
        <item h="1" x="5"/>
        <item h="1" x="8"/>
        <item h="1" x="4"/>
        <item h="1" x="6"/>
        <item h="1" x="1"/>
        <item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i>
    <i>
      <x v="3"/>
    </i>
    <i>
      <x v="5"/>
    </i>
    <i>
      <x v="1"/>
    </i>
    <i>
      <x v="4"/>
    </i>
    <i>
      <x v="2"/>
    </i>
    <i t="grand">
      <x/>
    </i>
  </rowItems>
  <colItems count="1">
    <i/>
  </colItems>
  <dataFields count="1">
    <dataField name="Sum of Units Sold" fld="2" baseField="0" baseItem="0" numFmtId="3"/>
  </dataFields>
  <formats count="1">
    <format dxfId="44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188421-7B56-4F4E-A563-39D00A42CB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0">
    <pivotField axis="axisRow" showAll="0">
      <items count="11">
        <item h="1" x="0"/>
        <item h="1" x="3"/>
        <item h="1" x="7"/>
        <item h="1" x="5"/>
        <item h="1" x="8"/>
        <item h="1" x="4"/>
        <item h="1" x="6"/>
        <item h="1" x="1"/>
        <item x="9"/>
        <item h="1"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8"/>
    </i>
    <i t="grand">
      <x/>
    </i>
  </rowItems>
  <colItems count="1">
    <i/>
  </colItems>
  <dataFields count="1">
    <dataField name="Sum of Revenue" fld="3" baseField="0" baseItem="0" numFmtId="165"/>
  </dataFields>
  <formats count="1">
    <format dxfId="44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ED3F11-CC45-4FFE-9D18-12F47520501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8:I26" firstHeaderRow="1" firstDataRow="1" firstDataCol="1"/>
  <pivotFields count="10">
    <pivotField showAll="0">
      <items count="11">
        <item h="1" sd="0" x="0"/>
        <item h="1" sd="0" x="3"/>
        <item h="1" sd="0" x="7"/>
        <item h="1" sd="0" x="5"/>
        <item h="1" sd="0" x="8"/>
        <item h="1" sd="0" x="4"/>
        <item h="1" sd="0" x="6"/>
        <item h="1" sd="0" x="1"/>
        <item sd="0" x="9"/>
        <item h="1" sd="0"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8">
    <i>
      <x v="6"/>
    </i>
    <i>
      <x v="5"/>
    </i>
    <i>
      <x v="4"/>
    </i>
    <i>
      <x v="1"/>
    </i>
    <i>
      <x v="2"/>
    </i>
    <i>
      <x v="3"/>
    </i>
    <i>
      <x/>
    </i>
    <i t="grand">
      <x/>
    </i>
  </rowItems>
  <colItems count="1">
    <i/>
  </colItems>
  <dataFields count="1">
    <dataField name="Sum of Profit" fld="5" baseField="0" baseItem="0"/>
  </dataFields>
  <formats count="4">
    <format dxfId="421">
      <pivotArea outline="0" collapsedLevelsAreSubtotals="1" fieldPosition="0"/>
    </format>
    <format dxfId="422">
      <pivotArea field="1" type="button" dataOnly="0" labelOnly="1" outline="0" axis="axisRow" fieldPosition="0"/>
    </format>
    <format dxfId="423">
      <pivotArea collapsedLevelsAreSubtotals="1" fieldPosition="0">
        <references count="1">
          <reference field="1" count="0"/>
        </references>
      </pivotArea>
    </format>
    <format dxfId="424">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4"/>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4" format="13">
      <pivotArea type="data" outline="0" fieldPosition="0">
        <references count="2">
          <reference field="4294967294" count="1" selected="0">
            <x v="0"/>
          </reference>
          <reference field="1" count="1" selected="0">
            <x v="6"/>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180FEC-2003-4D53-AB2D-F6948C24E3A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5" firstHeaderRow="1" firstDataRow="1" firstDataCol="1"/>
  <pivotFields count="10">
    <pivotField axis="axisRow" showAll="0" sortType="descending">
      <items count="11">
        <item h="1" x="0"/>
        <item h="1" x="3"/>
        <item h="1" x="7"/>
        <item h="1" x="5"/>
        <item h="1" x="8"/>
        <item h="1" x="4"/>
        <item h="1" x="6"/>
        <item h="1" x="1"/>
        <item x="9"/>
        <item h="1"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2">
    <i>
      <x v="8"/>
    </i>
    <i t="grand">
      <x/>
    </i>
  </rowItems>
  <colItems count="1">
    <i/>
  </colItems>
  <dataFields count="1">
    <dataField name="Sum of Profit" fld="5" baseField="0" baseItem="0"/>
  </dataFields>
  <formats count="2">
    <format dxfId="436">
      <pivotArea outline="0" collapsedLevelsAreSubtotals="1" fieldPosition="0"/>
    </format>
    <format dxfId="437">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984A44B-6131-4776-885E-FD1937EB73D8}" sourceName="Country">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753391265">
      <items count="10">
        <i x="0"/>
        <i x="3"/>
        <i x="7"/>
        <i x="5"/>
        <i x="8"/>
        <i x="4"/>
        <i x="6"/>
        <i x="1"/>
        <i x="9"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59FF47F-EC47-46D8-A964-13589781E701}" sourceName="Years (Dat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753391265">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3E1C793-E44C-4E90-9461-B27ACA0D13BE}" cache="Slicer_Country" caption="Country" showCaption="0" style="Slicer Style 1" rowHeight="241300"/>
  <slicer name="Years (Date)" xr10:uid="{531FB28E-FA35-43F7-96DC-C625D676928D}" cache="Slicer_Years__Date" caption="Years (Date)"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D1F13-8248-4C0E-ACFF-661DDC20DB75}" name="Table1" displayName="Table1" ref="A1:G701">
  <autoFilter ref="A1:G701" xr:uid="{30AD1F13-8248-4C0E-ACFF-661DDC20DB75}"/>
  <tableColumns count="7">
    <tableColumn id="1" xr3:uid="{2326F49F-0858-4FAC-BBD7-F8D89CA71DF7}" name="Country" totalsRowLabel="Total"/>
    <tableColumn id="2" xr3:uid="{0607466D-A9D6-405F-959C-84FCB5038431}" name="Product"/>
    <tableColumn id="3" xr3:uid="{563105C2-B8F0-4B80-B043-AAC47FDA01A2}" name="Units Sold"/>
    <tableColumn id="4" xr3:uid="{395E4D0C-3836-44BA-BAEC-695C67C2003B}" name="Revenue"/>
    <tableColumn id="5" xr3:uid="{9A3EB5A9-86B7-4D69-A4DD-2E23CA9A2589}" name="Cost"/>
    <tableColumn id="6" xr3:uid="{40EFA6EE-BC2A-4262-9ABB-8303087BE18E}" name="Profit"/>
    <tableColumn id="7" xr3:uid="{8A994FC2-5BE8-45D4-80E2-AF898D00484D}" name="Date" totalsRowFunction="count" dataDxfId="691"/>
  </tableColumns>
  <tableStyleInfo name="TableStyleLight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1EFF-88CC-4E50-BF93-AD49191C20FE}">
  <dimension ref="A1"/>
  <sheetViews>
    <sheetView showGridLines="0" showRowColHeaders="0" tabSelected="1" zoomScale="81" zoomScaleNormal="167" workbookViewId="0">
      <selection activeCell="R48" sqref="R48"/>
    </sheetView>
  </sheetViews>
  <sheetFormatPr defaultRowHeight="14.25" x14ac:dyDescent="0.2"/>
  <cols>
    <col min="1" max="16384" width="9"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162D-9AF8-43B8-8C7C-4E6113F0E2C2}">
  <dimension ref="A2:N40"/>
  <sheetViews>
    <sheetView zoomScale="218" workbookViewId="0">
      <selection activeCell="C44" sqref="C44"/>
    </sheetView>
  </sheetViews>
  <sheetFormatPr defaultRowHeight="14.25" x14ac:dyDescent="0.2"/>
  <cols>
    <col min="1" max="1" width="11.75" bestFit="1" customWidth="1"/>
    <col min="2" max="2" width="14.375" bestFit="1" customWidth="1"/>
    <col min="3" max="3" width="12.375" bestFit="1" customWidth="1"/>
    <col min="4" max="4" width="17.25" bestFit="1" customWidth="1"/>
    <col min="5" max="5" width="12.75" bestFit="1" customWidth="1"/>
    <col min="6" max="6" width="14.875" bestFit="1" customWidth="1"/>
    <col min="7" max="8" width="17.25" bestFit="1" customWidth="1"/>
    <col min="9" max="9" width="15.375" bestFit="1" customWidth="1"/>
    <col min="10" max="10" width="11.75" bestFit="1" customWidth="1"/>
    <col min="11" max="11" width="13.75" bestFit="1" customWidth="1"/>
    <col min="13" max="13" width="11.75" bestFit="1" customWidth="1"/>
    <col min="14" max="14" width="15.25" bestFit="1" customWidth="1"/>
  </cols>
  <sheetData>
    <row r="2" spans="1:14" x14ac:dyDescent="0.2">
      <c r="A2" s="19" t="s">
        <v>27</v>
      </c>
      <c r="B2" s="19"/>
      <c r="D2" s="19" t="s">
        <v>28</v>
      </c>
      <c r="E2" s="19"/>
      <c r="G2" s="19" t="s">
        <v>30</v>
      </c>
      <c r="H2" s="19"/>
      <c r="J2" s="18" t="s">
        <v>32</v>
      </c>
      <c r="K2" s="18"/>
      <c r="M2" s="18" t="s">
        <v>48</v>
      </c>
      <c r="N2" s="18"/>
    </row>
    <row r="3" spans="1:14" x14ac:dyDescent="0.2">
      <c r="A3" s="4" t="s">
        <v>25</v>
      </c>
      <c r="B3" t="s">
        <v>24</v>
      </c>
      <c r="D3" s="4" t="s">
        <v>25</v>
      </c>
      <c r="E3" t="s">
        <v>29</v>
      </c>
      <c r="G3" s="4" t="s">
        <v>25</v>
      </c>
      <c r="H3" t="s">
        <v>31</v>
      </c>
      <c r="J3" s="4" t="s">
        <v>25</v>
      </c>
      <c r="K3" t="s">
        <v>24</v>
      </c>
      <c r="M3" s="4" t="s">
        <v>25</v>
      </c>
      <c r="N3" t="s">
        <v>29</v>
      </c>
    </row>
    <row r="4" spans="1:14" x14ac:dyDescent="0.2">
      <c r="A4" s="5" t="s">
        <v>22</v>
      </c>
      <c r="B4" s="10">
        <v>1254735500</v>
      </c>
      <c r="D4" s="5" t="s">
        <v>19</v>
      </c>
      <c r="E4" s="10">
        <v>135849000</v>
      </c>
      <c r="G4" s="5" t="s">
        <v>19</v>
      </c>
      <c r="H4" s="7">
        <v>19407</v>
      </c>
      <c r="J4" s="5" t="s">
        <v>33</v>
      </c>
      <c r="K4" s="10">
        <v>546538400</v>
      </c>
      <c r="M4" s="5" t="s">
        <v>22</v>
      </c>
      <c r="N4" s="6">
        <v>237119250</v>
      </c>
    </row>
    <row r="5" spans="1:14" x14ac:dyDescent="0.2">
      <c r="A5" s="5" t="s">
        <v>26</v>
      </c>
      <c r="B5" s="10">
        <v>1254735500</v>
      </c>
      <c r="D5" s="5" t="s">
        <v>17</v>
      </c>
      <c r="E5" s="10">
        <v>58908000</v>
      </c>
      <c r="G5" s="5" t="s">
        <v>12</v>
      </c>
      <c r="H5" s="7">
        <v>16049</v>
      </c>
      <c r="J5" s="5" t="s">
        <v>34</v>
      </c>
      <c r="K5" s="10">
        <v>177723500</v>
      </c>
      <c r="M5" s="5" t="s">
        <v>26</v>
      </c>
      <c r="N5" s="7">
        <v>237119250</v>
      </c>
    </row>
    <row r="6" spans="1:14" x14ac:dyDescent="0.2">
      <c r="D6" s="5" t="s">
        <v>8</v>
      </c>
      <c r="E6" s="10">
        <v>13384800</v>
      </c>
      <c r="G6" s="5" t="s">
        <v>14</v>
      </c>
      <c r="H6" s="7">
        <v>15746</v>
      </c>
      <c r="J6" s="5" t="s">
        <v>35</v>
      </c>
      <c r="K6" s="10">
        <v>530473600</v>
      </c>
    </row>
    <row r="7" spans="1:14" x14ac:dyDescent="0.2">
      <c r="D7" s="5" t="s">
        <v>23</v>
      </c>
      <c r="E7" s="10">
        <v>9549600</v>
      </c>
      <c r="G7" s="5" t="s">
        <v>17</v>
      </c>
      <c r="H7" s="7">
        <v>14727</v>
      </c>
      <c r="J7" s="5" t="s">
        <v>26</v>
      </c>
      <c r="K7" s="7">
        <v>1254735500</v>
      </c>
    </row>
    <row r="8" spans="1:14" x14ac:dyDescent="0.2">
      <c r="D8" s="5" t="s">
        <v>10</v>
      </c>
      <c r="E8" s="10">
        <v>7512300</v>
      </c>
      <c r="G8" s="5" t="s">
        <v>23</v>
      </c>
      <c r="H8" s="7">
        <v>11937</v>
      </c>
    </row>
    <row r="9" spans="1:14" x14ac:dyDescent="0.2">
      <c r="D9" s="5" t="s">
        <v>14</v>
      </c>
      <c r="E9" s="10">
        <v>6298400</v>
      </c>
      <c r="G9" s="5" t="s">
        <v>8</v>
      </c>
      <c r="H9" s="7">
        <v>11154</v>
      </c>
    </row>
    <row r="10" spans="1:14" x14ac:dyDescent="0.2">
      <c r="D10" s="5" t="s">
        <v>12</v>
      </c>
      <c r="E10" s="10">
        <v>5617150</v>
      </c>
      <c r="G10" s="5" t="s">
        <v>10</v>
      </c>
      <c r="H10" s="7">
        <v>8347</v>
      </c>
    </row>
    <row r="11" spans="1:14" x14ac:dyDescent="0.2">
      <c r="D11" s="5" t="s">
        <v>26</v>
      </c>
      <c r="E11" s="10">
        <v>237119250</v>
      </c>
      <c r="G11" s="5" t="s">
        <v>26</v>
      </c>
      <c r="H11" s="7">
        <v>97367</v>
      </c>
    </row>
    <row r="17" spans="1:10" x14ac:dyDescent="0.2">
      <c r="A17" s="18" t="s">
        <v>49</v>
      </c>
      <c r="B17" s="18"/>
      <c r="D17" s="18" t="s">
        <v>50</v>
      </c>
      <c r="E17" s="18"/>
      <c r="F17" s="18"/>
      <c r="H17" s="18" t="s">
        <v>51</v>
      </c>
      <c r="I17" s="18"/>
      <c r="J17" s="8"/>
    </row>
    <row r="18" spans="1:10" x14ac:dyDescent="0.2">
      <c r="A18" s="4" t="s">
        <v>25</v>
      </c>
      <c r="B18" t="s">
        <v>24</v>
      </c>
      <c r="D18" s="4" t="s">
        <v>25</v>
      </c>
      <c r="E18" t="s">
        <v>24</v>
      </c>
      <c r="F18" t="s">
        <v>31</v>
      </c>
      <c r="H18" s="9" t="s">
        <v>25</v>
      </c>
      <c r="I18" t="s">
        <v>29</v>
      </c>
    </row>
    <row r="19" spans="1:10" x14ac:dyDescent="0.2">
      <c r="A19" s="5" t="s">
        <v>22</v>
      </c>
      <c r="B19" s="10">
        <v>1254735500</v>
      </c>
      <c r="D19" s="5" t="s">
        <v>36</v>
      </c>
      <c r="E19" s="20">
        <v>146016000</v>
      </c>
      <c r="F19" s="7">
        <v>9879</v>
      </c>
      <c r="H19" s="5" t="s">
        <v>19</v>
      </c>
      <c r="I19" s="6">
        <v>135849000</v>
      </c>
    </row>
    <row r="20" spans="1:10" x14ac:dyDescent="0.2">
      <c r="A20" s="5" t="s">
        <v>26</v>
      </c>
      <c r="B20" s="7">
        <v>1254735500</v>
      </c>
      <c r="D20" s="5" t="s">
        <v>37</v>
      </c>
      <c r="E20" s="20">
        <v>21381600</v>
      </c>
      <c r="F20" s="7">
        <v>4902</v>
      </c>
      <c r="H20" s="5" t="s">
        <v>17</v>
      </c>
      <c r="I20" s="6">
        <v>58908000</v>
      </c>
    </row>
    <row r="21" spans="1:10" x14ac:dyDescent="0.2">
      <c r="D21" s="5" t="s">
        <v>38</v>
      </c>
      <c r="E21" s="20">
        <v>7037700</v>
      </c>
      <c r="F21" s="7">
        <v>4469</v>
      </c>
      <c r="H21" s="5" t="s">
        <v>8</v>
      </c>
      <c r="I21" s="6">
        <v>13384800</v>
      </c>
    </row>
    <row r="22" spans="1:10" x14ac:dyDescent="0.2">
      <c r="D22" s="5" t="s">
        <v>39</v>
      </c>
      <c r="E22" s="20">
        <v>49274200</v>
      </c>
      <c r="F22" s="7">
        <v>2640</v>
      </c>
      <c r="H22" s="5" t="s">
        <v>23</v>
      </c>
      <c r="I22" s="6">
        <v>9549600</v>
      </c>
    </row>
    <row r="23" spans="1:10" x14ac:dyDescent="0.2">
      <c r="D23" s="5" t="s">
        <v>40</v>
      </c>
      <c r="E23" s="20">
        <v>192322000</v>
      </c>
      <c r="F23" s="7">
        <v>9579</v>
      </c>
      <c r="H23" s="5" t="s">
        <v>10</v>
      </c>
      <c r="I23" s="6">
        <v>7512300</v>
      </c>
    </row>
    <row r="24" spans="1:10" x14ac:dyDescent="0.2">
      <c r="D24" s="5" t="s">
        <v>41</v>
      </c>
      <c r="E24" s="10">
        <v>162937500</v>
      </c>
      <c r="F24" s="7">
        <v>10798</v>
      </c>
      <c r="H24" s="5" t="s">
        <v>14</v>
      </c>
      <c r="I24" s="6">
        <v>6298400</v>
      </c>
    </row>
    <row r="25" spans="1:10" x14ac:dyDescent="0.2">
      <c r="D25" s="5" t="s">
        <v>42</v>
      </c>
      <c r="E25" s="10">
        <v>40266000</v>
      </c>
      <c r="F25" s="7">
        <v>3610</v>
      </c>
      <c r="H25" s="5" t="s">
        <v>12</v>
      </c>
      <c r="I25" s="6">
        <v>5617150</v>
      </c>
    </row>
    <row r="26" spans="1:10" x14ac:dyDescent="0.2">
      <c r="D26" s="5" t="s">
        <v>43</v>
      </c>
      <c r="E26" s="10">
        <v>181530100</v>
      </c>
      <c r="F26" s="7">
        <v>15082</v>
      </c>
      <c r="H26" s="5" t="s">
        <v>26</v>
      </c>
      <c r="I26" s="6">
        <v>237119250</v>
      </c>
    </row>
    <row r="27" spans="1:10" x14ac:dyDescent="0.2">
      <c r="D27" s="5" t="s">
        <v>44</v>
      </c>
      <c r="E27" s="10">
        <v>173086200</v>
      </c>
      <c r="F27" s="7">
        <v>12442</v>
      </c>
    </row>
    <row r="28" spans="1:10" x14ac:dyDescent="0.2">
      <c r="D28" s="5" t="s">
        <v>45</v>
      </c>
      <c r="E28" s="10">
        <v>139316000</v>
      </c>
      <c r="F28" s="7">
        <v>8400</v>
      </c>
    </row>
    <row r="29" spans="1:10" x14ac:dyDescent="0.2">
      <c r="D29" s="5" t="s">
        <v>46</v>
      </c>
      <c r="E29" s="10">
        <v>132771600</v>
      </c>
      <c r="F29" s="7">
        <v>10811</v>
      </c>
    </row>
    <row r="30" spans="1:10" x14ac:dyDescent="0.2">
      <c r="D30" s="5" t="s">
        <v>47</v>
      </c>
      <c r="E30" s="10">
        <v>8796600</v>
      </c>
      <c r="F30" s="7">
        <v>4755</v>
      </c>
    </row>
    <row r="31" spans="1:10" x14ac:dyDescent="0.2">
      <c r="D31" s="5" t="s">
        <v>26</v>
      </c>
      <c r="E31" s="7">
        <v>1254735500</v>
      </c>
      <c r="F31" s="7">
        <v>97367</v>
      </c>
    </row>
    <row r="34" spans="1:5" x14ac:dyDescent="0.2">
      <c r="B34" s="16" t="s">
        <v>55</v>
      </c>
    </row>
    <row r="35" spans="1:5" x14ac:dyDescent="0.2">
      <c r="A35" s="14" t="s">
        <v>52</v>
      </c>
      <c r="B35" s="17">
        <f>GETPIVOTDATA("Revenue",$A$3)</f>
        <v>1254735500</v>
      </c>
    </row>
    <row r="36" spans="1:5" x14ac:dyDescent="0.2">
      <c r="A36" s="14" t="s">
        <v>53</v>
      </c>
      <c r="B36" s="17">
        <f>GETPIVOTDATA("Profit",$D$3)</f>
        <v>237119250</v>
      </c>
      <c r="E36" s="11"/>
    </row>
    <row r="37" spans="1:5" x14ac:dyDescent="0.2">
      <c r="A37" s="14" t="s">
        <v>54</v>
      </c>
      <c r="B37" s="13">
        <f>GETPIVOTDATA("Units Sold",$G$3)</f>
        <v>97367</v>
      </c>
      <c r="E37" s="11"/>
    </row>
    <row r="38" spans="1:5" x14ac:dyDescent="0.2">
      <c r="E38" s="11"/>
    </row>
    <row r="40" spans="1:5" x14ac:dyDescent="0.2">
      <c r="E40" s="12"/>
    </row>
  </sheetData>
  <mergeCells count="8">
    <mergeCell ref="J2:K2"/>
    <mergeCell ref="M2:N2"/>
    <mergeCell ref="A17:B17"/>
    <mergeCell ref="D17:F17"/>
    <mergeCell ref="H17:I17"/>
    <mergeCell ref="A2:B2"/>
    <mergeCell ref="D2:E2"/>
    <mergeCell ref="G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zoomScale="144" workbookViewId="0"/>
  </sheetViews>
  <sheetFormatPr defaultRowHeight="14.25" x14ac:dyDescent="0.2"/>
  <cols>
    <col min="1" max="1" width="12.375" customWidth="1"/>
    <col min="2" max="2" width="19.25" customWidth="1"/>
    <col min="3" max="3" width="10.625" customWidth="1"/>
    <col min="4" max="4" width="10.25" bestFit="1" customWidth="1"/>
    <col min="5"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G526"/>
  <sheetViews>
    <sheetView zoomScale="172" workbookViewId="0">
      <selection activeCell="H12" sqref="H12"/>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Centra COuncil</cp:lastModifiedBy>
  <dcterms:created xsi:type="dcterms:W3CDTF">2026-01-17T08:53:53Z</dcterms:created>
  <dcterms:modified xsi:type="dcterms:W3CDTF">2026-01-20T12:51:48Z</dcterms:modified>
</cp:coreProperties>
</file>